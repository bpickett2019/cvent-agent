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Open Questions" sheetId="2" r:id="rId6"/>
    <sheet state="visible" name="1. Event Setup" sheetId="3" r:id="rId7"/>
    <sheet state="visible" name="2. Footer Links" sheetId="4" r:id="rId8"/>
    <sheet state="visible" name="3. Reg Paths" sheetId="5" r:id="rId9"/>
    <sheet state="visible" name="4. Reg Types" sheetId="6" r:id="rId10"/>
    <sheet state="visible" name="5. Admission Items" sheetId="7" r:id="rId11"/>
    <sheet state="visible" name="6. Pricing" sheetId="8" r:id="rId12"/>
    <sheet state="visible" name="7. Discounts" sheetId="9" r:id="rId13"/>
    <sheet state="visible" name="8. Vouchers" sheetId="10" r:id="rId14"/>
    <sheet state="visible" name="9. Questions" sheetId="11" r:id="rId15"/>
    <sheet state="visible" name="Cvent Field Map" sheetId="12" r:id="rId16"/>
    <sheet state="visible" name="Deferred (Post-MVP)" sheetId="13" r:id="rId17"/>
  </sheets>
  <definedNames>
    <definedName hidden="1" localSheetId="11" name="_xlnm._FilterDatabase">'Cvent Field Map'!$A$4:$G$111</definedName>
  </definedNames>
  <calcPr/>
</workbook>
</file>

<file path=xl/sharedStrings.xml><?xml version="1.0" encoding="utf-8"?>
<sst xmlns="http://schemas.openxmlformats.org/spreadsheetml/2006/main" count="1639" uniqueCount="614">
  <si>
    <t>2. FOOTER LINKS  (Section D)</t>
  </si>
  <si>
    <t>1. EVENT SETUP</t>
  </si>
  <si>
    <t>OPEN QUESTIONS  -  PROPOSED ANSWERS FOR EMERALD TO CONFIRM</t>
  </si>
  <si>
    <t>Cvent: Registration &gt; Registration Process (Site Designer) &gt; Footer widget. Source: Helpful &amp; Social Links &gt; Footer Options.</t>
  </si>
  <si>
    <t>Include? (Yes/No)</t>
  </si>
  <si>
    <t>URL / destination</t>
  </si>
  <si>
    <t>Footer link (our form)</t>
  </si>
  <si>
    <t>-&gt; Cvent field</t>
  </si>
  <si>
    <t>Status</t>
  </si>
  <si>
    <t>Notes</t>
  </si>
  <si>
    <t>Sections A, B, C, E, N. Fill in column C only. Columns D-G show where your answer lands in Cvent.</t>
  </si>
  <si>
    <t>Charts + Darts has proposed an answer for every field marked 'Needs confirmation'. Emerald confirms or corrects - they do not start from a blank cell. Fields marked EMERALD ONLY are left blank on purpose: nobody outside Emerald can answer them, and a plausible guess there is worse than an empty cell.</t>
  </si>
  <si>
    <t>EMERALD x CVENT  -  REGISTRATION INTAKE</t>
  </si>
  <si>
    <t>Section</t>
  </si>
  <si>
    <t>Question (our form)</t>
  </si>
  <si>
    <t>YOUR ANSWER</t>
  </si>
  <si>
    <t>#</t>
  </si>
  <si>
    <t>Cvent location</t>
  </si>
  <si>
    <t>Tab</t>
  </si>
  <si>
    <t>Cvent widget / area</t>
  </si>
  <si>
    <t>Field</t>
  </si>
  <si>
    <t>Proposed answer</t>
  </si>
  <si>
    <t>Source in RR doc</t>
  </si>
  <si>
    <t>Show Hours</t>
  </si>
  <si>
    <t>Who can answer this</t>
  </si>
  <si>
    <t>Status / notes</t>
  </si>
  <si>
    <t>Basis for the proposal</t>
  </si>
  <si>
    <t>Emerald: confirm?</t>
  </si>
  <si>
    <t>Emerald: correction</t>
  </si>
  <si>
    <t>A. Event Basics</t>
  </si>
  <si>
    <t>One workbook in. One configured Cvent event out. Replaces the multi-tab RR doc.</t>
  </si>
  <si>
    <t>1. Event Setup</t>
  </si>
  <si>
    <t>Existing event name (template the agent copies)</t>
  </si>
  <si>
    <t>Registration open date</t>
  </si>
  <si>
    <t>HOW TO USE THIS WORKBOOK</t>
  </si>
  <si>
    <t>Show Hours link</t>
  </si>
  <si>
    <t>Leave blank - registration opens when the site is published</t>
  </si>
  <si>
    <t>1. Fill in the YELLOW cells only. Everything else is reference - it tells you where your answer lands in Cvent.</t>
  </si>
  <si>
    <t>Confirmed</t>
  </si>
  <si>
    <t>2. Every tab shows the Cvent destination next to each question, so you can see our form and their form side by side.</t>
  </si>
  <si>
    <t>3. Grey rows carry over automatically when the agent duplicates last year's event. Only answer them if the value changed.</t>
  </si>
  <si>
    <t>4. Amber rows are open questions we need Emerald to confirm before the agent can act on them.</t>
  </si>
  <si>
    <t>5. Row 1 of each table tab is an EXAMPLE - overwrite it or delete it before submitting.</t>
  </si>
  <si>
    <t>Show Policy</t>
  </si>
  <si>
    <t>Show Policy link</t>
  </si>
  <si>
    <t>LEGEND</t>
  </si>
  <si>
    <t>Emerald Privacy Policy</t>
  </si>
  <si>
    <t>Emerald Privacy Policy link</t>
  </si>
  <si>
    <t>Standard across all Emerald events - should default to ON with a fixed URL.</t>
  </si>
  <si>
    <t>Fill this in</t>
  </si>
  <si>
    <t>Proposed default</t>
  </si>
  <si>
    <t>Browse Sessions</t>
  </si>
  <si>
    <t>Browse Sessions link</t>
  </si>
  <si>
    <t>Link only - session configuration is out of MVP scope.</t>
  </si>
  <si>
    <t>Review Pricing</t>
  </si>
  <si>
    <t>Review Pricing link</t>
  </si>
  <si>
    <t>Link only - configuration out of MVP scope.</t>
  </si>
  <si>
    <t>Registration Status</t>
  </si>
  <si>
    <t>Registration Status link</t>
  </si>
  <si>
    <t>Event Name</t>
  </si>
  <si>
    <t>Yellow cells are yours. Everything outside them is reference.</t>
  </si>
  <si>
    <t>FAQ</t>
  </si>
  <si>
    <t>Event &gt; Event &gt; Details</t>
  </si>
  <si>
    <t>FAQ link</t>
  </si>
  <si>
    <t>Website title / Event Details</t>
  </si>
  <si>
    <t>Event Details &gt; Existing Event Name</t>
  </si>
  <si>
    <t>Contact Us button</t>
  </si>
  <si>
    <t>The RR doc has never had this column, across every example we were given. The most likely reason is that Emerald has never set it - the site goes live and registration is open. Adopting that as the default costs nothing and matches observed behaviour.</t>
  </si>
  <si>
    <t>Confirmed - Must match the Cvent event name exactly. e.g. Surf Expo 2025</t>
  </si>
  <si>
    <t>Mapping agreed with Emerald. The agent will configure this.</t>
  </si>
  <si>
    <t>New event name</t>
  </si>
  <si>
    <t>Needs confirmation</t>
  </si>
  <si>
    <t>Event Details &gt; New Event Name</t>
  </si>
  <si>
    <t>Open question. Answer it, but expect the mapping to move.</t>
  </si>
  <si>
    <t>Confirmed - Name of the newly copied event. e.g. Surf Expo 2026</t>
  </si>
  <si>
    <t>Display / short name</t>
  </si>
  <si>
    <t>Exhibitor Resource Center</t>
  </si>
  <si>
    <t>Exhibitor Resource Center link</t>
  </si>
  <si>
    <t>Display / Short Name</t>
  </si>
  <si>
    <t>Exhibitor path only.</t>
  </si>
  <si>
    <t>Carries over</t>
  </si>
  <si>
    <t>Header + confirmations</t>
  </si>
  <si>
    <t>-- no RR field --</t>
  </si>
  <si>
    <t>Hotel Info</t>
  </si>
  <si>
    <t>Confirmed - Emerald generates this. No RR doc column exists for it today - this is a new intake field.</t>
  </si>
  <si>
    <t>Hotel Info link</t>
  </si>
  <si>
    <t>Venue name</t>
  </si>
  <si>
    <t>Venue Name</t>
  </si>
  <si>
    <t>Event Details widget</t>
  </si>
  <si>
    <t>Event Details &gt; Event Location (combined)</t>
  </si>
  <si>
    <t>Comes across when the event is duplicated. Leave blank unless it changed.</t>
  </si>
  <si>
    <t>Confirmed - RR combines venue + city + state into one string. Cvent needs them separate - split here so the agent never parses free text.</t>
  </si>
  <si>
    <t>City</t>
  </si>
  <si>
    <t>EMERALD ONLY - see Open Questions tab. Proposed: link only, no image; any event needing a hotel map routes to manual build.</t>
  </si>
  <si>
    <t>Gap - new field</t>
  </si>
  <si>
    <t>Custom text block(s)</t>
  </si>
  <si>
    <t>Remove from the form - handle as a manual exception</t>
  </si>
  <si>
    <t>State</t>
  </si>
  <si>
    <t>Not in the RR doc at all. New question - source unknown.</t>
  </si>
  <si>
    <t>Emerald's own note says these are rarely used. A field that is blank 95% of the time trains people to skip the section it lives in. Better to leave it off and route the rare event to a human.</t>
  </si>
  <si>
    <t>COMPLETION</t>
  </si>
  <si>
    <t>Time zone</t>
  </si>
  <si>
    <t>Image / slideshow (asset names or URLs)</t>
  </si>
  <si>
    <t>What it covers</t>
  </si>
  <si>
    <t>Type</t>
  </si>
  <si>
    <t>Progress</t>
  </si>
  <si>
    <t>Same reasoning as text blocks. Also: images are the one thing that has already broken an RR doc (see Discounts), so keeping image handling out of the automated path is the safer default.</t>
  </si>
  <si>
    <t>Sections A, B, C, E, N</t>
  </si>
  <si>
    <t>Video URL</t>
  </si>
  <si>
    <t>Time Zone</t>
  </si>
  <si>
    <t>Event settings</t>
  </si>
  <si>
    <t>Event Details &gt; Time Zone for Event Location</t>
  </si>
  <si>
    <t>Confirmed - Cvent auto-adjusts for daylight saving.</t>
  </si>
  <si>
    <t>Same reasoning. Rarely used, and a single URL is trivial for a human to add post-build.</t>
  </si>
  <si>
    <t>One answer each</t>
  </si>
  <si>
    <t>Event type</t>
  </si>
  <si>
    <t>Event Type</t>
  </si>
  <si>
    <t>Event Details &gt; Type of Event</t>
  </si>
  <si>
    <t>Expo hall dates - START</t>
  </si>
  <si>
    <t>2. Footer Links</t>
  </si>
  <si>
    <t>Expo Hall Dates</t>
  </si>
  <si>
    <t>Event Details &gt; Expo Hall Dates</t>
  </si>
  <si>
    <t>Expo hall dates - END</t>
  </si>
  <si>
    <t>Link only. Any event needing a hotel map image routes to manual build.</t>
  </si>
  <si>
    <t>Conference dates - START</t>
  </si>
  <si>
    <t>Conference Dates</t>
  </si>
  <si>
    <t>Event Details &gt; Conference Dates</t>
  </si>
  <si>
    <t>Confirmed - Leave blank if there is no conference component.</t>
  </si>
  <si>
    <t>EMERALD ONLY - left blank</t>
  </si>
  <si>
    <t>Conference dates - END</t>
  </si>
  <si>
    <t>Show hours</t>
  </si>
  <si>
    <t>Cvent's footer widget has no image field, so the map in that RR example was either a custom front-end build or a different widget entirely. We cannot tell which from the doc. Emerald must say what that example actually was before the agent can reproduce it.</t>
  </si>
  <si>
    <t>Event Details &gt; Show Hours</t>
  </si>
  <si>
    <t>Confirmed - e.g. Fri-Sat 9:00 AM - 6:00 PM; Sun 9:00 AM - 3:00 PM</t>
  </si>
  <si>
    <t>Registration deadline / close</t>
  </si>
  <si>
    <t>3. Reg Paths</t>
  </si>
  <si>
    <t>Path privacy</t>
  </si>
  <si>
    <t>Attendee / Exhibitor / Media = Public. Any internal staff path = Internal only.</t>
  </si>
  <si>
    <t>Resolved - Cvent behaviour</t>
  </si>
  <si>
    <t>Cvent sets privacy per registration path via the gear icon in Site Designer, controlling whether people outside the invitation list can register. Emerald's public trade shows need open registration; the internal staff path is the only one that should be restricted.</t>
  </si>
  <si>
    <t>Path status</t>
  </si>
  <si>
    <t>Active</t>
  </si>
  <si>
    <t>Every path listed on an intake form is a path the event needs. Inactive is the exception, not the default - and an inactive path is a silent failure the day registration opens.</t>
  </si>
  <si>
    <t>Path name (exactly as named in Cvent)</t>
  </si>
  <si>
    <t>Port the existing names verbatim from Cvent. Agent links only, never creates.</t>
  </si>
  <si>
    <t>Already established in the mapping sheet: new paths must be pre-configured outside the workflow. The only rule needed is that the intake name must match Cvent's string exactly, including abbreviations.</t>
  </si>
  <si>
    <t>Section D - footer links</t>
  </si>
  <si>
    <t>4. Reg Types</t>
  </si>
  <si>
    <t>One row per link</t>
  </si>
  <si>
    <t>Open for registration</t>
  </si>
  <si>
    <t>Yes</t>
  </si>
  <si>
    <t>A reg type on the intake form is a reg type the event is selling. No is the exception.</t>
  </si>
  <si>
    <t>Auto opens on</t>
  </si>
  <si>
    <t>Registration Deadline / Close</t>
  </si>
  <si>
    <t>Section F - registration paths</t>
  </si>
  <si>
    <t>Leave blank - inherit the event-level registration open date</t>
  </si>
  <si>
    <t>Repeating table</t>
  </si>
  <si>
    <t>Registration &gt; Registration Overview</t>
  </si>
  <si>
    <t>Registration Settings</t>
  </si>
  <si>
    <t>Reg Types &amp; Pricing &gt; Onsite tier end date</t>
  </si>
  <si>
    <t>Confirmed - AUTO-FILLS from the Onsite tier end date on the Pricing tab. Cvent's field name differs from the RR doc - same value, two names.</t>
  </si>
  <si>
    <t>Not tracked in the RR doc, which suggests Emerald has not been setting per-type schedules. Inheriting the event dates gives identical behaviour with one place to change it.</t>
  </si>
  <si>
    <t>Registration goal (est. total registrations)</t>
  </si>
  <si>
    <t>Auto closes on</t>
  </si>
  <si>
    <t>Leave blank - inherit the event-level registration deadline</t>
  </si>
  <si>
    <t>Same. Per-type close dates that silently differ from the event deadline are a common source of 'why can't this person register' tickets.</t>
  </si>
  <si>
    <t>Registration Goal</t>
  </si>
  <si>
    <t>Event Details &gt; Total Estimated Registration</t>
  </si>
  <si>
    <t>Confirmed - Cvent calls it Goal; RR calls it Total Estimated Registration.</t>
  </si>
  <si>
    <t>Section G - registration types</t>
  </si>
  <si>
    <t>Capacity</t>
  </si>
  <si>
    <t>Leave blank = uncapped</t>
  </si>
  <si>
    <t>Not tracked in the RR doc. Uncapped is the safe failure mode: a wrong cap turns away paying registrants, a missing cap does not.</t>
  </si>
  <si>
    <t>Registration Open Date</t>
  </si>
  <si>
    <t>-- not tracked in RR doc --</t>
  </si>
  <si>
    <t>Path assignment</t>
  </si>
  <si>
    <t>Read-only. Agent reads the existing assignment, never writes it.</t>
  </si>
  <si>
    <t>Needs confirmation - OPEN QUESTION: not in the RR doc today. Does Emerald set this, or is it always live on publish?</t>
  </si>
  <si>
    <t>The mapping sheet already states this is pre-configured via other setup steps. Making it read-only removes the risk of the intake form overwriting a working configuration.</t>
  </si>
  <si>
    <t>B. Theme &amp; Branding</t>
  </si>
  <si>
    <t>Event theme</t>
  </si>
  <si>
    <t>Reg type name</t>
  </si>
  <si>
    <t>5. Admission Items</t>
  </si>
  <si>
    <t>Event Theme</t>
  </si>
  <si>
    <t>(left blank on purpose)</t>
  </si>
  <si>
    <t>Section H - admission items</t>
  </si>
  <si>
    <t>Registration &gt; Registration Process (Site Designer)</t>
  </si>
  <si>
    <t>Cvent theme</t>
  </si>
  <si>
    <t>Event Details &gt; Event Theme</t>
  </si>
  <si>
    <t>Confirmed - 'Carry over' tells the agent to skip theming and keep what came across in the duplication step.</t>
  </si>
  <si>
    <t>New theme name / notes (only if not carrying over)</t>
  </si>
  <si>
    <t>Emerald's own naming. We can see the codes but not the rule that generates the display name from them.</t>
  </si>
  <si>
    <t>6. Pricing</t>
  </si>
  <si>
    <t>Show progress bar?</t>
  </si>
  <si>
    <t>Appears on</t>
  </si>
  <si>
    <t>Section I - price tiers and fees</t>
  </si>
  <si>
    <t>Fixed grid</t>
  </si>
  <si>
    <t>Comes from the NEW REG MAPPING sheet per event. Not a default.</t>
  </si>
  <si>
    <t>Show Progress Bar?</t>
  </si>
  <si>
    <t>Theme</t>
  </si>
  <si>
    <t>Web page description - what's included</t>
  </si>
  <si>
    <t>Carries over - Carries over on duplication. Only answer if it changes year over year.</t>
  </si>
  <si>
    <t>Marketing copy, different every event. No default is possible or desirable.</t>
  </si>
  <si>
    <t>Brand / primary colors</t>
  </si>
  <si>
    <t>Brand / Primary Colors</t>
  </si>
  <si>
    <t>7. Discounts</t>
  </si>
  <si>
    <t>Section K - discount codes</t>
  </si>
  <si>
    <t>-- brand, not an RR tab --</t>
  </si>
  <si>
    <t>Carries over - Carries over on duplication.</t>
  </si>
  <si>
    <t>Header logo (asset name or URL)</t>
  </si>
  <si>
    <t>Admission items this type sees (codes, comma separated)</t>
  </si>
  <si>
    <t>Header Logo</t>
  </si>
  <si>
    <t>Header widget</t>
  </si>
  <si>
    <t>-- brand assets, not an RR tab --</t>
  </si>
  <si>
    <t>Event-specific mapping. This is the core content of the RR doc, not a setting.</t>
  </si>
  <si>
    <t>Carries over - DUPLICATE IN SOURCE SHEET: listed under both B. Theme &amp; Branding and C. Header. Same Cvent field - merged to one question.</t>
  </si>
  <si>
    <t>C. Header</t>
  </si>
  <si>
    <t>Header navigation links (label | URL, one per line)</t>
  </si>
  <si>
    <t>Header Navigation Links</t>
  </si>
  <si>
    <t>Website Navigation widget</t>
  </si>
  <si>
    <t>Helpful &amp; Social Links &gt; (no header nav section)</t>
  </si>
  <si>
    <t>Carries over - Carries over on duplication. Only fill in if links change this year.</t>
  </si>
  <si>
    <t>Event title / date / location block</t>
  </si>
  <si>
    <t>Can add a guest?</t>
  </si>
  <si>
    <t>8. Vouchers</t>
  </si>
  <si>
    <t>Section L - event vouchers (GAP)</t>
  </si>
  <si>
    <t>No</t>
  </si>
  <si>
    <t>Guest registration adds capacity, badge and pricing implications. Off unless the event explicitly turns it on.</t>
  </si>
  <si>
    <t>(auto-populated from Section A)</t>
  </si>
  <si>
    <t>Event Title / Date / Location block</t>
  </si>
  <si>
    <t>Event Details &gt; auto-populated</t>
  </si>
  <si>
    <t>Confirmed - AUTO-POPULATED from Section A. Nothing to enter.</t>
  </si>
  <si>
    <t>E. Body Widgets</t>
  </si>
  <si>
    <t>Countdown clock?</t>
  </si>
  <si>
    <t>Same reasoning as reg types.</t>
  </si>
  <si>
    <t>9. Questions</t>
  </si>
  <si>
    <t>Countdown Timer</t>
  </si>
  <si>
    <t>Section M - registration questions</t>
  </si>
  <si>
    <t>Countdown Timer widget</t>
  </si>
  <si>
    <t>Helpful &amp; Social Links &gt; Do you want a countdown clock?</t>
  </si>
  <si>
    <t>Confirmed - Counts down to registration close.</t>
  </si>
  <si>
    <t>Leave blank - inherit event-level dates</t>
  </si>
  <si>
    <t>Text above the countdown clock</t>
  </si>
  <si>
    <t>Helpful &amp; Social Links &gt; If yes, what text above the clock?</t>
  </si>
  <si>
    <t>Facebook URL</t>
  </si>
  <si>
    <t>Social Feed / Follow Bar</t>
  </si>
  <si>
    <t>Social Media Feed / Share-Follow</t>
  </si>
  <si>
    <t>Helpful &amp; Social Links &gt; Social Media URLs</t>
  </si>
  <si>
    <t>NOT ON THIS FORM: 17 fields from the mapping sheet are deferred to post-MVP (Advanced Rules, Optional Items / Add-Ons, Registration Capacity). They are listed on the 'Deferred (Post-MVP)' tab so nothing is lost - but they are not asked here, because the agent cannot act on them yet.</t>
  </si>
  <si>
    <t>X URL</t>
  </si>
  <si>
    <t>BEFORE YOU START:  the 'Open Questions' tab holds a proposed answer for every field marked 'Needs confirmation', with the reasoning behind each one. Confirm or correct them there and most of the amber on this workbook turns green. Rows shown in red on that tab are deliberately blank - only Emerald can answer them.</t>
  </si>
  <si>
    <t>LinkedIn URL</t>
  </si>
  <si>
    <t>YouTube URL</t>
  </si>
  <si>
    <t>Charge a fee?</t>
  </si>
  <si>
    <t>Every admission item on the Pricing tab carries a Member / Non-Member price, so a fee applies by default. Comp items are the exception and should be handled with a 100% discount code, not a zero-fee item - that keeps the revenue reporting clean.</t>
  </si>
  <si>
    <t>Instagram URL</t>
  </si>
  <si>
    <t>Already Registered link on landing page</t>
  </si>
  <si>
    <t>Name</t>
  </si>
  <si>
    <t>Already Registered link</t>
  </si>
  <si>
    <t>Already Registered widget</t>
  </si>
  <si>
    <t>Event Details &gt; Already Registered Link on Landing Page</t>
  </si>
  <si>
    <t>Confirmed - Emerald standard is Yes.</t>
  </si>
  <si>
    <t>OPEN: the mapping sheet asks who populates the OLD admission items. Until that is settled, the old-to-new mapping cannot be automated. This is a process question, not a field.</t>
  </si>
  <si>
    <t>Code</t>
  </si>
  <si>
    <t>Text block(s)</t>
  </si>
  <si>
    <t>Text page element</t>
  </si>
  <si>
    <t>Believed pre-configured in earlier steps, but nobody has confirmed which step or who owns it.</t>
  </si>
  <si>
    <t>-- content, not an RR tab --</t>
  </si>
  <si>
    <t>Needs confirmation - Emerald noted these are rarely used. Confirm whether to keep on the form at all.</t>
  </si>
  <si>
    <t>Image / Slideshow</t>
  </si>
  <si>
    <t>Image / Slideshow element</t>
  </si>
  <si>
    <t>Needs confirmation - Rarely used - confirm.</t>
  </si>
  <si>
    <t>Fee name</t>
  </si>
  <si>
    <t>Registration Fee</t>
  </si>
  <si>
    <t>Video</t>
  </si>
  <si>
    <t>Cvent requires a name on the fee object and Emerald's events carry exactly one. A fixed string removes a field from the form and a variable from the agent.</t>
  </si>
  <si>
    <t>Video page element</t>
  </si>
  <si>
    <t>N. Terms &amp; Policies</t>
  </si>
  <si>
    <t>Show Policy / T&amp;C link URL</t>
  </si>
  <si>
    <t>Registration &gt; Registration Process (Site Designer &gt; T&amp;C)</t>
  </si>
  <si>
    <t>Terms &amp; Conditions widget</t>
  </si>
  <si>
    <t>Policies &amp; Rules &gt; needs a new column</t>
  </si>
  <si>
    <t>Confirmed - The RR doc has no column for this yet - add one.</t>
  </si>
  <si>
    <t>Cancellation &amp; refund text</t>
  </si>
  <si>
    <t>Cancellation &amp; Refund text</t>
  </si>
  <si>
    <t>Confirmed - MANDATORY Emerald language. Recommend a locked default so it can't drift event to event.</t>
  </si>
  <si>
    <t>Privacy policy acceptance question text</t>
  </si>
  <si>
    <t>Fee active / display</t>
  </si>
  <si>
    <t>Privacy policy acceptance</t>
  </si>
  <si>
    <t>Registration &gt; Registration Process (Site Designer &gt; Questions)</t>
  </si>
  <si>
    <t>Consent question</t>
  </si>
  <si>
    <t>Show Questions &gt; Demo Name = POLICY / EMPP</t>
  </si>
  <si>
    <t>An inactive fee means nobody can pay. There is no scenario in this workflow where No is correct.</t>
  </si>
  <si>
    <t>Confirmed - Lives as a POLICY / EMPP question on the Show Questions tab, not in the T&amp;C widget.</t>
  </si>
  <si>
    <t>Applicable optional items (codes)</t>
  </si>
  <si>
    <t>Leave blank until Optional Items comes into scope post-MVP</t>
  </si>
  <si>
    <t>Optional Items are deferred, so there is nothing for a discount to apply to yet. Hard rule regardless: the agent must reject an image in this column rather than skip it silently.</t>
  </si>
  <si>
    <t>ALL FIELDS</t>
  </si>
  <si>
    <t>There is no RR doc tab for vouchers at all. Emerald is configuring them somewhere today - a side doc, a ticket, or by habit. Until we know where, any value we put here is invented, and an invented voucher code with a real capacity is a live financial object.</t>
  </si>
  <si>
    <t>Determines reg type? (if yes, name it)</t>
  </si>
  <si>
    <t>Treat as a VISIBILITY FILTER: reg type determines which questions show, not the reverse.</t>
  </si>
  <si>
    <t>Cvent controls question visibility by registration type (and, since 2025, by Audience Segment) - the reg type is the input and the question set is the output. Making a question answer assign a reg type needs the Registration Type selection widget or Advanced Rules, and Advanced Rules is deferred post-MVP. Recommend renaming this column 'Visible to which reg types' so the RR doc stops implying the opposite. Flag for Emerald: if they genuinely need answer-drives-path, that is a scope change, not a field.</t>
  </si>
  <si>
    <t>Trigger / conditional logic</t>
  </si>
  <si>
    <t>Yes - this is Cvent's per-question Link Logic in the Site Designer.</t>
  </si>
  <si>
    <t>Cvent supports conditional questions that appear only when a specific answer is selected, configured per question inside the Site Designer. That matches what the RR column describes.</t>
  </si>
  <si>
    <t>Internal name (Demo Name)</t>
  </si>
  <si>
    <t>Rule: uppercase, no spaces, 20 characters max, matches the RR Demo Name verbatim. Taxonomy questions keep their taxonomy code.</t>
  </si>
  <si>
    <t>3. REGISTRATION PATHS  (Section F)</t>
  </si>
  <si>
    <t>The mapping sheet flags that RR naming does not map to Cvent's dashboard. A rule fixes that permanently; case-by-case judgement does not. Emerald confirms the rule once instead of confirming names forever.</t>
  </si>
  <si>
    <t>Cvent: Registration &gt; Registration Overview &gt; Registration Path. Green row = the Cvent field each column writes to.</t>
  </si>
  <si>
    <t>-&gt; Path list</t>
  </si>
  <si>
    <t>-&gt; Path Privacy</t>
  </si>
  <si>
    <t>-&gt; Path Status</t>
  </si>
  <si>
    <t>-&gt; Post-registration redirect URL</t>
  </si>
  <si>
    <t>Post-registration redirect URL</t>
  </si>
  <si>
    <t>default: must match Cvent verbatim</t>
  </si>
  <si>
    <t>default: Public (Internal for staff paths)</t>
  </si>
  <si>
    <t>default: Active</t>
  </si>
  <si>
    <t>Attendee</t>
  </si>
  <si>
    <t>Public - on the registration site</t>
  </si>
  <si>
    <t>https://emeraldx.com/thank-you</t>
  </si>
  <si>
    <t>WHY SOME CELLS ARE BLANK:  A proposed default is a claim we can defend - it comes from Cvent's documented behaviour, from a pattern visible across every RR doc example, or from the safer of two failure modes. The red rows have none of that. Vouchers have no source document. The hotel map has no Cvent field that could have produced it. Admission item ownership is a process nobody has named. Filling those in would make the workbook look finished while quietly inventing Emerald's business rules - and this build carries a SOX audit trail, so an invented rule is worse than an open one.</t>
  </si>
  <si>
    <t>COLUMN NOTES  -  status and open questions</t>
  </si>
  <si>
    <t>Path name (exactly as named in Cvent)  |  Needs confirmation  |  Abbreviations must match Cvent exactly. Agent can link to an existing path but cannot create one.</t>
  </si>
  <si>
    <t>Path privacy  |  Needs confirmation  |  Controls whether the path is on the public site or only available to staff registering people.</t>
  </si>
  <si>
    <t>Path status  |  Needs confirmation</t>
  </si>
  <si>
    <t>Post-registration redirect URL  |  Confirmed  |  Dictated by the Registration Path configuration inside Cvent.</t>
  </si>
  <si>
    <t>4. REGISTRATION TYPES  (Section G)</t>
  </si>
  <si>
    <t>5. ADMISSION ITEMS  (Section H)</t>
  </si>
  <si>
    <t>Cvent: Registration &gt; Registration Types. One row per reg type - list multiple admission items in one cell rather than duplicating the row.</t>
  </si>
  <si>
    <t>Cvent: Registration &gt; Admission Items. If Name is blank the agent skips mapping this row to an old admission item.</t>
  </si>
  <si>
    <t>-&gt; Reg Type Code (new)</t>
  </si>
  <si>
    <t>-&gt; Registration Pass Description</t>
  </si>
  <si>
    <t>-&gt; Reg Type Name</t>
  </si>
  <si>
    <t>-&gt; Name</t>
  </si>
  <si>
    <t>-&gt; Code</t>
  </si>
  <si>
    <t>-&gt; Description</t>
  </si>
  <si>
    <t>-&gt; Web Page Description (what's included)</t>
  </si>
  <si>
    <t>-&gt; Limit which reg types can select</t>
  </si>
  <si>
    <t>-&gt; Admission items this type sees</t>
  </si>
  <si>
    <t>-&gt; Open for registration</t>
  </si>
  <si>
    <t>-&gt; Path assignment</t>
  </si>
  <si>
    <t>-&gt; Auto opens / closes on</t>
  </si>
  <si>
    <t>-&gt; Capacity</t>
  </si>
  <si>
    <t>-&gt; Charge a fee?</t>
  </si>
  <si>
    <t>Description - what's included</t>
  </si>
  <si>
    <t>-&gt; Guest eligibility</t>
  </si>
  <si>
    <t>Which reg types can select this (codes)</t>
  </si>
  <si>
    <t>Reg type code (NEW)</t>
  </si>
  <si>
    <t>Registration pass description</t>
  </si>
  <si>
    <t>6. PRICING &amp; FEES  (Section I)</t>
  </si>
  <si>
    <t>default: Yes</t>
  </si>
  <si>
    <t>default: inherit event dates</t>
  </si>
  <si>
    <t>default: uncapped</t>
  </si>
  <si>
    <t>Full Access Pass</t>
  </si>
  <si>
    <t>FULLACC</t>
  </si>
  <si>
    <t>Expo hall, all keynotes, conference sessions</t>
  </si>
  <si>
    <t>Cvent: Pricing &gt; Fees. These date ranges drive Cvent's automatic price changes. The Onsite end date feeds the Registration Deadline on tab 1.</t>
  </si>
  <si>
    <t>ATTARCH, ATTCON</t>
  </si>
  <si>
    <t>default: read-only</t>
  </si>
  <si>
    <t>Fill in the yellow cells. Tier order is fixed - Cvent switches price automatically when a tier's end date passes.</t>
  </si>
  <si>
    <t>default: No</t>
  </si>
  <si>
    <t>Price tier</t>
  </si>
  <si>
    <t>ATTARCH</t>
  </si>
  <si>
    <t>Starts</t>
  </si>
  <si>
    <t>Attendee - Architect</t>
  </si>
  <si>
    <t>Ends</t>
  </si>
  <si>
    <t>Member price</t>
  </si>
  <si>
    <t>Non-member price</t>
  </si>
  <si>
    <t>Super Saver</t>
  </si>
  <si>
    <t>Super Saver price (Member / Non-Member)</t>
  </si>
  <si>
    <t>Expo hall access, keynote, 2 sessions</t>
  </si>
  <si>
    <t>FULLACC, KEYNOTE</t>
  </si>
  <si>
    <t>Early Bird</t>
  </si>
  <si>
    <t>Early Bird price (Member / Non-Member)</t>
  </si>
  <si>
    <t>Advance</t>
  </si>
  <si>
    <t>Advance price (Member / Non-Member)</t>
  </si>
  <si>
    <t>Onsite</t>
  </si>
  <si>
    <t>Onsite price (Member / Non-Member)</t>
  </si>
  <si>
    <t>This END date feeds Registration Deadline / Close on tab 1.</t>
  </si>
  <si>
    <t>Tier gap check</t>
  </si>
  <si>
    <t>7. DISCOUNTS  (Section K)</t>
  </si>
  <si>
    <t>PROPOSED default - confirm on the Open Questions tab.</t>
  </si>
  <si>
    <t>Processing fee note (display text)</t>
  </si>
  <si>
    <t>Cvent: Pricing &gt; Discounts. One row per discount code. Do NOT paste an image in place of rows - it breaks the automation.</t>
  </si>
  <si>
    <t>Display text only. Merchant checkout config is out of scope - this changes what registrants read, not what they are charged.</t>
  </si>
  <si>
    <t>-&gt; Name / Description</t>
  </si>
  <si>
    <t>-&gt; Discount Code</t>
  </si>
  <si>
    <t>-&gt; Method</t>
  </si>
  <si>
    <t>-&gt; Amount / Percentage</t>
  </si>
  <si>
    <t>-&gt; Effective From</t>
  </si>
  <si>
    <t>-&gt; Effective To</t>
  </si>
  <si>
    <t>-&gt; Stackable</t>
  </si>
  <si>
    <t>-&gt; Usable by</t>
  </si>
  <si>
    <t>-&gt; Count guests toward capacity</t>
  </si>
  <si>
    <t>-&gt; Active</t>
  </si>
  <si>
    <t>-&gt; Applicable Admission Items</t>
  </si>
  <si>
    <t>-&gt; Applicable Optional Items</t>
  </si>
  <si>
    <t>Name / description</t>
  </si>
  <si>
    <t>Discount code</t>
  </si>
  <si>
    <t>Method</t>
  </si>
  <si>
    <t>Amount / percentage</t>
  </si>
  <si>
    <t>Effective from</t>
  </si>
  <si>
    <t>Effective to</t>
  </si>
  <si>
    <t>Stackable</t>
  </si>
  <si>
    <t>Usable by</t>
  </si>
  <si>
    <t>Count guests toward capacity</t>
  </si>
  <si>
    <t>Applicable admission items (codes)</t>
  </si>
  <si>
    <t>default: blank until post-MVP</t>
  </si>
  <si>
    <t>Exhibitor comp</t>
  </si>
  <si>
    <t>EXHCOMP26</t>
  </si>
  <si>
    <t>Percentage</t>
  </si>
  <si>
    <t>100%</t>
  </si>
  <si>
    <t>Name  |  Needs confirmation  |  e.g. Full Access Pass. If this is blank the agent skips mapping to an old admission item.</t>
  </si>
  <si>
    <t>Code  |  Needs confirmation  |  Believed pre-configured in earlier steps.</t>
  </si>
  <si>
    <t>Description - what's included  |  Confirmed</t>
  </si>
  <si>
    <t>Which reg types can select this (codes)  |  Confirmed</t>
  </si>
  <si>
    <t>Open for registration  |  Needs confirmation</t>
  </si>
  <si>
    <t>Auto opens on  |  Needs confirmation</t>
  </si>
  <si>
    <t>Auto closes on  |  Needs confirmation</t>
  </si>
  <si>
    <t>Capacity  |  Needs confirmation</t>
  </si>
  <si>
    <t>Charge a fee?  |  Needs confirmation</t>
  </si>
  <si>
    <t>Reg type code (NEW)  |  Confirmed  |  e.g. ATTARCH</t>
  </si>
  <si>
    <t>Registration pass description  |  Confirmed  |  Name used for reporting AND as the display name on the website.</t>
  </si>
  <si>
    <t>Reg type name  |  Needs confirmation</t>
  </si>
  <si>
    <t>Appears on  |  Needs confirmation  |  Paths are being standardized - may not be a fixed dropdown yet.</t>
  </si>
  <si>
    <t>Web page description - what's included  |  Needs confirmation  |  One description per reg type.</t>
  </si>
  <si>
    <t>Admission items this type sees (codes, comma separated)  |  Needs confirmation  |  List all items on one row instead of duplicating the reg type across rows.</t>
  </si>
  <si>
    <t>Path assignment  |  Needs confirmation  |  Believed pre-configured in earlier setup steps - confirm.</t>
  </si>
  <si>
    <t>Can add a guest?  |  Needs confirmation</t>
  </si>
  <si>
    <t>8. EVENT VOUCHERS  (Section L)</t>
  </si>
  <si>
    <t>Cvent: Registration &gt; Event Vouchers. THIS WHOLE SECTION IS A GAP - there is no RR doc tab for it. Confirm where Emerald configures vouchers today.</t>
  </si>
  <si>
    <t>-&gt; Voucher Code</t>
  </si>
  <si>
    <t>-&gt; Alert Email Address</t>
  </si>
  <si>
    <t>Voucher code</t>
  </si>
  <si>
    <t>Alert email address</t>
  </si>
  <si>
    <t>Description</t>
  </si>
  <si>
    <t>default: EMERALD ONLY - do not fill yet</t>
  </si>
  <si>
    <t>default: EMERALD ONLY</t>
  </si>
  <si>
    <t>VIP2026</t>
  </si>
  <si>
    <t>registration@emeraldx.com</t>
  </si>
  <si>
    <t>VIP guest comp</t>
  </si>
  <si>
    <t>50</t>
  </si>
  <si>
    <t>9. REGISTRATION QUESTIONS  (Section M)</t>
  </si>
  <si>
    <t>Cvent: Registration &gt; Registration Process (Site Designer) &gt; Questions. One row per question, listed in display order.</t>
  </si>
  <si>
    <t>-&gt; Question internal name</t>
  </si>
  <si>
    <t>-&gt; Page displayed on</t>
  </si>
  <si>
    <t>-&gt; Company or Individual</t>
  </si>
  <si>
    <t>-&gt; Question Text (display)</t>
  </si>
  <si>
    <t>-&gt; Question Appearance</t>
  </si>
  <si>
    <t>-&gt; Answer options (code + text)</t>
  </si>
  <si>
    <t>-&gt; Required to answer</t>
  </si>
  <si>
    <t>-&gt; Which reg types see this</t>
  </si>
  <si>
    <t>-&gt; Visible online</t>
  </si>
  <si>
    <t>-&gt; Determines Reg Type?</t>
  </si>
  <si>
    <t>-&gt; Trigger / conditional logic</t>
  </si>
  <si>
    <t>Page displayed on</t>
  </si>
  <si>
    <t>Company or individual</t>
  </si>
  <si>
    <t>Question text (as displayed on the site)</t>
  </si>
  <si>
    <t>Question appearance</t>
  </si>
  <si>
    <t>Answer options - code | text, in display order</t>
  </si>
  <si>
    <t>Required to answer</t>
  </si>
  <si>
    <t>Which reg types see this (codes)</t>
  </si>
  <si>
    <t>Visible online</t>
  </si>
  <si>
    <t>default: UPPERCASE, no spaces, max 20 chars</t>
  </si>
  <si>
    <t>default: visibility filter - see Open Questions</t>
  </si>
  <si>
    <t>default: Cvent Link Logic, per question</t>
  </si>
  <si>
    <t>NAICS36D</t>
  </si>
  <si>
    <t>Show Questions</t>
  </si>
  <si>
    <t>Individual - every registrant answers</t>
  </si>
  <si>
    <t>What best describes your primary business?</t>
  </si>
  <si>
    <t>Single select</t>
  </si>
  <si>
    <t>A01 | Architect ; A02 | Contractor ; A03 | Designer</t>
  </si>
  <si>
    <t>Visible on the site</t>
  </si>
  <si>
    <t>Voucher code  |  Gap - new field</t>
  </si>
  <si>
    <t>Alert email address  |  Gap - new field</t>
  </si>
  <si>
    <t>Description  |  Gap - new field</t>
  </si>
  <si>
    <t>Capacity  |  Gap - new field</t>
  </si>
  <si>
    <t>CVENT FIELD MAP</t>
  </si>
  <si>
    <t>Every intake question and the exact Cvent dashboard field it writes to. This is the agent's contract - read-only.</t>
  </si>
  <si>
    <t>Cvent nav</t>
  </si>
  <si>
    <t>Cvent area / widget</t>
  </si>
  <si>
    <t>Cvent field name</t>
  </si>
  <si>
    <t>Question on our form</t>
  </si>
  <si>
    <t>Which tab</t>
  </si>
  <si>
    <t>Event</t>
  </si>
  <si>
    <t>Event &gt; Details / Website title / Event Details</t>
  </si>
  <si>
    <t>Event &gt; Details / Header + confirmations</t>
  </si>
  <si>
    <t>Event &gt; Details / Event Details widget</t>
  </si>
  <si>
    <t>Event &gt; Details / Event settings</t>
  </si>
  <si>
    <t>Registration</t>
  </si>
  <si>
    <t>Registration Overview / Registration Settings</t>
  </si>
  <si>
    <t>Registration Process (Site Designer) / Cvent theme</t>
  </si>
  <si>
    <t>Registration Process (Site Designer) / Theme</t>
  </si>
  <si>
    <t>Registration Process (Site Designer) / Header widget</t>
  </si>
  <si>
    <t>Registration Process (Site Designer) / Website Navigation widget</t>
  </si>
  <si>
    <t>Registration Process (Site Designer) / Event Details widget</t>
  </si>
  <si>
    <t>Registration Process (Site Designer) / Countdown Timer widget</t>
  </si>
  <si>
    <t>Registration Process (Site Designer) / Social Media Feed / Share-Follow</t>
  </si>
  <si>
    <t>Name / description  |  Confirmed</t>
  </si>
  <si>
    <t>Discount code  |  Confirmed</t>
  </si>
  <si>
    <t>Method  |  Confirmed</t>
  </si>
  <si>
    <t>Amount / percentage  |  Confirmed</t>
  </si>
  <si>
    <t>Effective from  |  Confirmed</t>
  </si>
  <si>
    <t>Effective to  |  Confirmed</t>
  </si>
  <si>
    <t>Registration Process (Site Designer) / Already Registered widget</t>
  </si>
  <si>
    <t>Capacity  |  Confirmed</t>
  </si>
  <si>
    <t>Stackable  |  Confirmed</t>
  </si>
  <si>
    <t>Registration Process (Site Designer) / Text page element</t>
  </si>
  <si>
    <t>Usable by  |  Confirmed</t>
  </si>
  <si>
    <t>Count guests toward capacity  |  Confirmed</t>
  </si>
  <si>
    <t>Registration Process (Site Designer) / Image / Slideshow element</t>
  </si>
  <si>
    <t>Active  |  Confirmed</t>
  </si>
  <si>
    <t>Registration Process (Site Designer) / Video page element</t>
  </si>
  <si>
    <t>Applicable admission items (codes)  |  Confirmed</t>
  </si>
  <si>
    <t>Registration Process (Site Designer &gt; T&amp;C) / Terms &amp; Conditions widget</t>
  </si>
  <si>
    <t>Applicable optional items (codes)  |  Needs confirmation  |  RR templates disagree here. One version dropped an IMAGE in place of rows - that breaks the automation. Naming convention must be fixed on the new doc.</t>
  </si>
  <si>
    <t>DEFERRED TO POST-MVP</t>
  </si>
  <si>
    <t>Registration Process (Site Designer &gt; Questions) / Consent question</t>
  </si>
  <si>
    <t>Registration Process (Site Designer) / Footer widget</t>
  </si>
  <si>
    <t>In the mapping sheet, deliberately NOT on the form. Asking Emerald to fill in fields the agent cannot act on is how an intake form loses trust.</t>
  </si>
  <si>
    <t>Helpful &amp; Social Links &gt; Footer Options</t>
  </si>
  <si>
    <t>Cvent area</t>
  </si>
  <si>
    <t>Cvent field</t>
  </si>
  <si>
    <t>Why it is off the form</t>
  </si>
  <si>
    <t>O. Advanced Rules</t>
  </si>
  <si>
    <t>Advanced Rules</t>
  </si>
  <si>
    <t>Rule Name</t>
  </si>
  <si>
    <t>Deferred to post-MVP</t>
  </si>
  <si>
    <t>Warning Message</t>
  </si>
  <si>
    <t>Registration Overview / Registration Path</t>
  </si>
  <si>
    <t>Path list</t>
  </si>
  <si>
    <t>Event Details / NEW REG MAPPING</t>
  </si>
  <si>
    <t>Rule settings</t>
  </si>
  <si>
    <t>Min / Max quantity items</t>
  </si>
  <si>
    <t>Path Privacy</t>
  </si>
  <si>
    <t>Internal name (Demo Name)  |  Needs confirmation  |  e.g. MOBILEOPT, NAICS36D. RR naming convention does not map cleanly to the Cvent dashboard - needs a rule.</t>
  </si>
  <si>
    <t>Rule Association</t>
  </si>
  <si>
    <t>Applicable admission items</t>
  </si>
  <si>
    <t>Page displayed on  |  Confirmed</t>
  </si>
  <si>
    <t>Path Status</t>
  </si>
  <si>
    <t>Company or individual  |  Confirmed</t>
  </si>
  <si>
    <t>Applicable reg types</t>
  </si>
  <si>
    <t>Question text (as displayed on the site)  |  Confirmed</t>
  </si>
  <si>
    <t>J. Optional Items / Add-Ons</t>
  </si>
  <si>
    <t>Question appearance  |  Confirmed</t>
  </si>
  <si>
    <t>Optional Items (Step 1)</t>
  </si>
  <si>
    <t>Item Type</t>
  </si>
  <si>
    <t>Answer options - code | text, in display order  |  Confirmed  |  e.g. A01 | Architect ; A02 | Contractor. Answer codes are Maritz-generated unless the demo is taxonomy.</t>
  </si>
  <si>
    <t>Optional Items</t>
  </si>
  <si>
    <t>Required to answer  |  Confirmed</t>
  </si>
  <si>
    <t>Item Title</t>
  </si>
  <si>
    <t>Which reg types see this (codes)  |  Confirmed</t>
  </si>
  <si>
    <t>Registration Types / Registration Types</t>
  </si>
  <si>
    <t>Optional Items (Code)</t>
  </si>
  <si>
    <t>Reg Type Code (new)</t>
  </si>
  <si>
    <t>Item Code</t>
  </si>
  <si>
    <t>Visible online  |  Confirmed</t>
  </si>
  <si>
    <t>NEW REG MAPPING / Reg Types &amp; Pricing</t>
  </si>
  <si>
    <t>Determines reg type? (if yes, name it)  |  Needs confirmation  |  CONFLICT: RR frames this as the answer setting the registrant's path. Research suggests it is a filter for which questions appear BASED ON reg type. Emerald must clarify which.</t>
  </si>
  <si>
    <t>Trigger / conditional logic  |  Needs confirmation  |  Likely the per-question Link Logic setup inside the Site Designer - confirm.</t>
  </si>
  <si>
    <t>Registration Pass Description</t>
  </si>
  <si>
    <t>Optional Items status</t>
  </si>
  <si>
    <t>Visible on reg site</t>
  </si>
  <si>
    <t>Reg Type Name</t>
  </si>
  <si>
    <t>Max allowed per registrant</t>
  </si>
  <si>
    <t>Status &amp; Capacity</t>
  </si>
  <si>
    <t>Capacity / Allotment</t>
  </si>
  <si>
    <t>Open / close on</t>
  </si>
  <si>
    <t>Web Page Description (what's included)</t>
  </si>
  <si>
    <t>Availability</t>
  </si>
  <si>
    <t>Which admission items can view</t>
  </si>
  <si>
    <t>Admission items this type sees</t>
  </si>
  <si>
    <t>Pricing &gt; Quantity Items</t>
  </si>
  <si>
    <t>Price tiers (Member / Non-Member x 4)</t>
  </si>
  <si>
    <t>Registration Capacity - can skip</t>
  </si>
  <si>
    <t>Not tracked in the RR doc - Emerald confirmed it can be skipped</t>
  </si>
  <si>
    <t>Auto opens / closes on</t>
  </si>
  <si>
    <t>Guest eligibility</t>
  </si>
  <si>
    <t>Admission Items / Admission Items</t>
  </si>
  <si>
    <t>Limit which reg types can select</t>
  </si>
  <si>
    <t>Pricing</t>
  </si>
  <si>
    <t>Pricing &gt; Discounts / Discounts</t>
  </si>
  <si>
    <t>Name / Description</t>
  </si>
  <si>
    <t>Discount Code Template</t>
  </si>
  <si>
    <t>Discount Code</t>
  </si>
  <si>
    <t>Amount / Percentage</t>
  </si>
  <si>
    <t>Effective From</t>
  </si>
  <si>
    <t>Effective To</t>
  </si>
  <si>
    <t>Applicable Admission Items</t>
  </si>
  <si>
    <t>Applicable Optional Items</t>
  </si>
  <si>
    <t>Event Vouchers / Event Vouchers</t>
  </si>
  <si>
    <t>Voucher Code</t>
  </si>
  <si>
    <t>-- GAP, not in RR doc --</t>
  </si>
  <si>
    <t>Alert Email Address</t>
  </si>
  <si>
    <t>Registration Process (Site Designer) / Questions widget</t>
  </si>
  <si>
    <t>Question internal name</t>
  </si>
  <si>
    <t>Company or Individual</t>
  </si>
  <si>
    <t>Question Text (display)</t>
  </si>
  <si>
    <t>Question Appearance</t>
  </si>
  <si>
    <t>Answer options (code + text)</t>
  </si>
  <si>
    <t>Which reg types see this</t>
  </si>
  <si>
    <t>Determines Reg Type?</t>
  </si>
  <si>
    <t>Pricing &gt; Fees / Pricing (fee schedule)</t>
  </si>
  <si>
    <t>Super Saver tier - dates and Member / Non-Member price</t>
  </si>
  <si>
    <t>Reg Types &amp; Pricing</t>
  </si>
  <si>
    <t>Early Bird tier - dates and Member / Non-Member price</t>
  </si>
  <si>
    <t>Advance tier - dates and Member / Non-Member price</t>
  </si>
  <si>
    <t>Onsite tier - dates and Member / Non-Member price</t>
  </si>
  <si>
    <t>Pricing &gt; Fees / Create Fee</t>
  </si>
  <si>
    <t>Fee Name</t>
  </si>
  <si>
    <t>Active / Display</t>
  </si>
  <si>
    <t>Pricing &gt; Fees / (display note)</t>
  </si>
  <si>
    <t>Processing fee note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</si>
</sst>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0.00"/>
  </numFmts>
  <fonts count="26">
    <font>
      <sz val="11.0"/>
      <color theme="1"/>
      <name val="Calibri"/>
      <scheme val="minor"/>
    </font>
    <font>
      <b/>
      <sz val="14.0"/>
      <color rgb="FFFFFFFF"/>
      <name val="Arial"/>
    </font>
    <font/>
    <font>
      <i/>
      <sz val="9.0"/>
      <color rgb="FF727A72"/>
      <name val="Arial"/>
    </font>
    <font>
      <b/>
      <sz val="9.0"/>
      <color rgb="FFFFFFFF"/>
      <name val="Arial"/>
    </font>
    <font>
      <sz val="10.0"/>
      <color rgb="FF1B1F24"/>
      <name val="Arial"/>
    </font>
    <font>
      <sz val="9.0"/>
      <color rgb="FF727A72"/>
      <name val="Arial"/>
    </font>
    <font>
      <b/>
      <sz val="10.0"/>
      <color rgb="FF1B1F24"/>
      <name val="Arial"/>
    </font>
    <font>
      <b/>
      <sz val="11.0"/>
      <color rgb="FF1B1F24"/>
      <name val="Arial"/>
    </font>
    <font>
      <b/>
      <sz val="10.0"/>
      <color rgb="FF0F6B4F"/>
      <name val="Arial"/>
    </font>
    <font>
      <sz val="9.0"/>
      <color rgb="FF0F6B4F"/>
      <name val="Arial"/>
    </font>
    <font>
      <b/>
      <sz val="9.0"/>
      <color rgb="FFA86200"/>
      <name val="Arial"/>
    </font>
    <font>
      <b/>
      <sz val="10.0"/>
      <color rgb="FFA86200"/>
      <name val="Arial"/>
    </font>
    <font>
      <sz val="11.0"/>
      <color theme="1"/>
      <name val="Calibri"/>
    </font>
    <font>
      <b/>
      <sz val="10.0"/>
      <color rgb="FF727A72"/>
      <name val="Arial"/>
    </font>
    <font>
      <sz val="9.0"/>
      <color rgb="FFA86200"/>
      <name val="Arial"/>
    </font>
    <font>
      <b/>
      <sz val="10.0"/>
      <color rgb="FF8A2B3C"/>
      <name val="Arial"/>
    </font>
    <font>
      <b/>
      <sz val="9.0"/>
      <color rgb="FF8A2B3C"/>
      <name val="Arial"/>
    </font>
    <font>
      <b/>
      <sz val="9.0"/>
      <color rgb="FF0F6B4F"/>
      <name val="Arial"/>
    </font>
    <font>
      <b/>
      <i/>
      <sz val="9.0"/>
      <color rgb="FF8A2B3C"/>
      <name val="Arial"/>
    </font>
    <font>
      <sz val="8.0"/>
      <color rgb="FFFFFFFF"/>
      <name val="Arial"/>
    </font>
    <font>
      <i/>
      <sz val="8.0"/>
      <color rgb="FF0F6B4F"/>
      <name val="Arial"/>
    </font>
    <font>
      <i/>
      <sz val="8.0"/>
      <color rgb="FF727A72"/>
      <name val="Arial"/>
    </font>
    <font>
      <b/>
      <sz val="11.0"/>
      <color rgb="FF0F6B4F"/>
      <name val="Arial"/>
    </font>
    <font>
      <sz val="9.0"/>
      <color rgb="FF8A2B3C"/>
      <name val="Arial"/>
    </font>
    <font>
      <sz val="9.0"/>
      <color rgb="FF1B1F24"/>
      <name val="Arial"/>
    </font>
  </fonts>
  <fills count="9">
    <fill>
      <patternFill patternType="none"/>
    </fill>
    <fill>
      <patternFill patternType="lightGray"/>
    </fill>
    <fill>
      <patternFill patternType="solid">
        <fgColor rgb="FF14181D"/>
        <bgColor rgb="FF14181D"/>
      </patternFill>
    </fill>
    <fill>
      <patternFill patternType="solid">
        <fgColor rgb="FFFFF2CC"/>
        <bgColor rgb="FFFFF2CC"/>
      </patternFill>
    </fill>
    <fill>
      <patternFill patternType="solid">
        <fgColor rgb="FFFBEEF0"/>
        <bgColor rgb="FFFBEEF0"/>
      </patternFill>
    </fill>
    <fill>
      <patternFill patternType="solid">
        <fgColor rgb="FFF2F4F0"/>
        <bgColor rgb="FFF2F4F0"/>
      </patternFill>
    </fill>
    <fill>
      <patternFill patternType="solid">
        <fgColor rgb="FFE3F0E9"/>
        <bgColor rgb="FFE3F0E9"/>
      </patternFill>
    </fill>
    <fill>
      <patternFill patternType="solid">
        <fgColor rgb="FFF6F8F5"/>
        <bgColor rgb="FFF6F8F5"/>
      </patternFill>
    </fill>
    <fill>
      <patternFill patternType="solid">
        <fgColor rgb="FF0F6B4F"/>
        <bgColor rgb="FF0F6B4F"/>
      </patternFill>
    </fill>
  </fills>
  <borders count="11">
    <border/>
    <border>
      <left/>
      <top/>
      <bottom/>
    </border>
    <border>
      <top/>
      <bottom/>
    </border>
    <border>
      <right/>
      <top/>
      <bottom/>
    </border>
    <border>
      <left style="thin">
        <color rgb="FFD8DCD4"/>
      </left>
      <right style="thin">
        <color rgb="FFD8DCD4"/>
      </right>
      <top style="thin">
        <color rgb="FFD8DCD4"/>
      </top>
      <bottom style="thin">
        <color rgb="FFD8DCD4"/>
      </bottom>
    </border>
    <border>
      <left style="thin">
        <color rgb="FFE0B84D"/>
      </left>
      <right style="thin">
        <color rgb="FFE0B84D"/>
      </right>
      <top style="thin">
        <color rgb="FFE0B84D"/>
      </top>
      <bottom style="thin">
        <color rgb="FFE0B84D"/>
      </bottom>
    </border>
    <border>
      <left style="thin">
        <color rgb="FF6FA88F"/>
      </left>
      <right style="thin">
        <color rgb="FF6FA88F"/>
      </right>
      <top style="thin">
        <color rgb="FF6FA88F"/>
      </top>
      <bottom style="thin">
        <color rgb="FF6FA88F"/>
      </bottom>
    </border>
    <border>
      <left/>
      <right/>
      <top/>
      <bottom/>
    </border>
    <border>
      <left style="thin">
        <color rgb="FFD8DCD4"/>
      </left>
      <top style="thin">
        <color rgb="FFD8DCD4"/>
      </top>
      <bottom style="thin">
        <color rgb="FFD8DCD4"/>
      </bottom>
    </border>
    <border>
      <top style="thin">
        <color rgb="FFD8DCD4"/>
      </top>
      <bottom style="thin">
        <color rgb="FFD8DCD4"/>
      </bottom>
    </border>
    <border>
      <right style="thin">
        <color rgb="FFD8DCD4"/>
      </right>
      <top style="thin">
        <color rgb="FFD8DCD4"/>
      </top>
      <bottom style="thin">
        <color rgb="FFD8DCD4"/>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center" wrapText="0"/>
    </xf>
    <xf borderId="4" fillId="2" fontId="4" numFmtId="0" xfId="0" applyAlignment="1" applyBorder="1" applyFill="1" applyFont="1">
      <alignment shrinkToFit="0" vertical="center" wrapText="1"/>
    </xf>
    <xf borderId="0" fillId="0" fontId="3" numFmtId="0" xfId="0" applyAlignment="1" applyFont="1">
      <alignment shrinkToFit="0" vertical="center" wrapText="1"/>
    </xf>
    <xf borderId="5" fillId="3" fontId="5" numFmtId="0" xfId="0" applyAlignment="1" applyBorder="1" applyFill="1" applyFont="1">
      <alignment shrinkToFit="0" vertical="bottom" wrapText="0"/>
    </xf>
    <xf borderId="4" fillId="0" fontId="6" numFmtId="0" xfId="0" applyAlignment="1" applyBorder="1" applyFont="1">
      <alignment shrinkToFit="0" vertical="top" wrapText="1"/>
    </xf>
    <xf borderId="4" fillId="0" fontId="7" numFmtId="0" xfId="0" applyAlignment="1" applyBorder="1" applyFont="1">
      <alignment shrinkToFit="0" vertical="bottom" wrapText="0"/>
    </xf>
    <xf borderId="4" fillId="0" fontId="7" numFmtId="0" xfId="0" applyAlignment="1" applyBorder="1" applyFont="1">
      <alignment shrinkToFit="0" vertical="top" wrapText="1"/>
    </xf>
    <xf borderId="0" fillId="0" fontId="8" numFmtId="0" xfId="0" applyAlignment="1" applyFont="1">
      <alignment shrinkToFit="0" vertical="bottom" wrapText="0"/>
    </xf>
    <xf borderId="4" fillId="0" fontId="9" numFmtId="0" xfId="0" applyAlignment="1" applyBorder="1" applyFont="1">
      <alignment shrinkToFit="0" vertical="top" wrapText="1"/>
    </xf>
    <xf borderId="0" fillId="0" fontId="5" numFmtId="0" xfId="0" applyAlignment="1" applyFont="1">
      <alignment shrinkToFit="0" vertical="center" wrapText="0"/>
    </xf>
    <xf borderId="4" fillId="0" fontId="10" numFmtId="0" xfId="0" applyAlignment="1" applyBorder="1" applyFont="1">
      <alignment shrinkToFit="0" vertical="bottom" wrapText="0"/>
    </xf>
    <xf borderId="5" fillId="3" fontId="5" numFmtId="0" xfId="0" applyAlignment="1" applyBorder="1" applyFill="1" applyFont="1">
      <alignment shrinkToFit="0" vertical="top" wrapText="1"/>
    </xf>
    <xf borderId="4" fillId="3" fontId="7" numFmtId="0" xfId="0" applyAlignment="1" applyBorder="1" applyFill="1" applyFont="1">
      <alignment shrinkToFit="0" vertical="bottom" wrapText="0"/>
    </xf>
    <xf borderId="4" fillId="0" fontId="11" numFmtId="0" xfId="0" applyAlignment="1" applyBorder="1" applyFont="1">
      <alignment shrinkToFit="0" vertical="top" wrapText="1"/>
    </xf>
    <xf borderId="4" fillId="0" fontId="9" numFmtId="0" xfId="0" applyAlignment="1" applyBorder="1" applyFont="1">
      <alignment shrinkToFit="0" vertical="bottom" wrapText="0"/>
    </xf>
    <xf borderId="4" fillId="0" fontId="10" numFmtId="0" xfId="0" applyAlignment="1" applyBorder="1" applyFont="1">
      <alignment shrinkToFit="0" vertical="top" wrapText="1"/>
    </xf>
    <xf borderId="4" fillId="0" fontId="12" numFmtId="0" xfId="0" applyAlignment="1" applyBorder="1" applyFont="1">
      <alignment shrinkToFit="0" vertical="bottom" wrapText="0"/>
    </xf>
    <xf borderId="6" fillId="3" fontId="13" numFmtId="0" xfId="0" applyAlignment="1" applyBorder="1" applyFill="1" applyFont="1">
      <alignment shrinkToFit="0" vertical="top" wrapText="1"/>
    </xf>
    <xf borderId="4" fillId="0" fontId="14" numFmtId="0" xfId="0" applyAlignment="1" applyBorder="1" applyFont="1">
      <alignment shrinkToFit="0" vertical="bottom" wrapText="0"/>
    </xf>
    <xf borderId="4" fillId="0" fontId="15" numFmtId="0" xfId="0" applyAlignment="1" applyBorder="1" applyFont="1">
      <alignment shrinkToFit="0" vertical="bottom" wrapText="0"/>
    </xf>
    <xf borderId="4" fillId="0" fontId="16" numFmtId="0" xfId="0" applyAlignment="1" applyBorder="1" applyFont="1">
      <alignment shrinkToFit="0" vertical="bottom" wrapText="0"/>
    </xf>
    <xf borderId="4" fillId="2" fontId="4" numFmtId="0" xfId="0" applyAlignment="1" applyBorder="1" applyFill="1" applyFont="1">
      <alignment shrinkToFit="0" vertical="bottom" wrapText="0"/>
    </xf>
    <xf borderId="4" fillId="0" fontId="5" numFmtId="0" xfId="0" applyAlignment="1" applyBorder="1" applyFont="1">
      <alignment shrinkToFit="0" vertical="bottom" wrapText="0"/>
    </xf>
    <xf borderId="4" fillId="0" fontId="6" numFmtId="0" xfId="0" applyAlignment="1" applyBorder="1" applyFont="1">
      <alignment shrinkToFit="0" vertical="bottom" wrapText="0"/>
    </xf>
    <xf borderId="4" fillId="4" fontId="6" numFmtId="0" xfId="0" applyAlignment="1" applyBorder="1" applyFill="1" applyFont="1">
      <alignment shrinkToFit="0" vertical="top" wrapText="1"/>
    </xf>
    <xf borderId="5" fillId="3" fontId="5" numFmtId="164" xfId="0" applyAlignment="1" applyBorder="1" applyFill="1" applyFont="1" applyNumberFormat="1">
      <alignment shrinkToFit="0" vertical="top" wrapText="1"/>
    </xf>
    <xf borderId="4" fillId="4" fontId="7" numFmtId="0" xfId="0" applyAlignment="1" applyBorder="1" applyFill="1" applyFont="1">
      <alignment shrinkToFit="0" vertical="top" wrapText="1"/>
    </xf>
    <xf borderId="4" fillId="4" fontId="9" numFmtId="0" xfId="0" applyAlignment="1" applyBorder="1" applyFill="1" applyFont="1">
      <alignment shrinkToFit="0" vertical="top" wrapText="1"/>
    </xf>
    <xf borderId="4" fillId="4" fontId="17" numFmtId="0" xfId="0" applyAlignment="1" applyBorder="1" applyFill="1" applyFont="1">
      <alignment shrinkToFit="0" vertical="top" wrapText="1"/>
    </xf>
    <xf borderId="4" fillId="0" fontId="18" numFmtId="0" xfId="0" applyAlignment="1" applyBorder="1" applyFont="1">
      <alignment shrinkToFit="0" vertical="top" wrapText="1"/>
    </xf>
    <xf borderId="7" fillId="5" fontId="9" numFmtId="164" xfId="0" applyAlignment="1" applyBorder="1" applyFill="1" applyFont="1" applyNumberFormat="1">
      <alignment shrinkToFit="0" vertical="bottom" wrapText="0"/>
    </xf>
    <xf borderId="5" fillId="3" fontId="5" numFmtId="3" xfId="0" applyAlignment="1" applyBorder="1" applyFill="1" applyFont="1" applyNumberFormat="1">
      <alignment shrinkToFit="0" vertical="top" wrapText="1"/>
    </xf>
    <xf borderId="6" fillId="6" fontId="9" numFmtId="164" xfId="0" applyAlignment="1" applyBorder="1" applyFill="1" applyFont="1" applyNumberFormat="1">
      <alignment shrinkToFit="0" vertical="top" wrapText="1"/>
    </xf>
    <xf borderId="4" fillId="0" fontId="15" numFmtId="0" xfId="0" applyAlignment="1" applyBorder="1" applyFont="1">
      <alignment shrinkToFit="0" vertical="top" wrapText="1"/>
    </xf>
    <xf borderId="4" fillId="4" fontId="19" numFmtId="0" xfId="0" applyAlignment="1" applyBorder="1" applyFill="1" applyFont="1">
      <alignment shrinkToFit="0" vertical="top" wrapText="1"/>
    </xf>
    <xf borderId="4" fillId="7" fontId="6" numFmtId="0" xfId="0" applyAlignment="1" applyBorder="1" applyFill="1" applyFont="1">
      <alignment shrinkToFit="0" vertical="top" wrapText="1"/>
    </xf>
    <xf borderId="4" fillId="7" fontId="7" numFmtId="0" xfId="0" applyAlignment="1" applyBorder="1" applyFill="1" applyFont="1">
      <alignment shrinkToFit="0" vertical="top" wrapText="1"/>
    </xf>
    <xf borderId="7" fillId="5" fontId="3" numFmtId="0" xfId="0" applyAlignment="1" applyBorder="1" applyFill="1" applyFont="1">
      <alignment shrinkToFit="0" vertical="bottom" wrapText="0"/>
    </xf>
    <xf borderId="0" fillId="0" fontId="9" numFmtId="0" xfId="0" applyAlignment="1" applyFont="1">
      <alignment shrinkToFit="0" vertical="center" wrapText="1"/>
    </xf>
    <xf borderId="6" fillId="6" fontId="9" numFmtId="0" xfId="0" applyAlignment="1" applyBorder="1" applyFill="1" applyFont="1">
      <alignment shrinkToFit="0" vertical="top" wrapText="1"/>
    </xf>
    <xf borderId="4" fillId="8" fontId="20" numFmtId="0" xfId="0" applyAlignment="1" applyBorder="1" applyFill="1" applyFont="1">
      <alignment shrinkToFit="0" vertical="center" wrapText="1"/>
    </xf>
    <xf borderId="4" fillId="6" fontId="21" numFmtId="0" xfId="0" applyAlignment="1" applyBorder="1" applyFill="1" applyFont="1">
      <alignment shrinkToFit="0" vertical="center" wrapText="1"/>
    </xf>
    <xf borderId="4" fillId="7" fontId="22" numFmtId="0" xfId="0" applyAlignment="1" applyBorder="1" applyFill="1" applyFont="1">
      <alignment shrinkToFit="0" vertical="center" wrapText="1"/>
    </xf>
    <xf borderId="4" fillId="7" fontId="3" numFmtId="0" xfId="0" applyAlignment="1" applyBorder="1" applyFill="1" applyFont="1">
      <alignment shrinkToFit="0" vertical="top" wrapText="1"/>
    </xf>
    <xf borderId="0" fillId="0" fontId="23" numFmtId="0" xfId="0" applyAlignment="1" applyFont="1">
      <alignment shrinkToFit="0" vertical="center" wrapText="0"/>
    </xf>
    <xf borderId="0" fillId="0" fontId="6" numFmtId="0" xfId="0" applyAlignment="1" applyFont="1">
      <alignment shrinkToFit="0" vertical="center" wrapText="1"/>
    </xf>
    <xf borderId="0" fillId="0" fontId="13" numFmtId="0" xfId="0" applyAlignment="1" applyFont="1">
      <alignment shrinkToFit="0" vertical="bottom" wrapText="0"/>
    </xf>
    <xf borderId="0" fillId="0" fontId="7" numFmtId="0" xfId="0" applyAlignment="1" applyFont="1">
      <alignment shrinkToFit="0" vertical="bottom" wrapText="0"/>
    </xf>
    <xf borderId="0" fillId="0" fontId="15" numFmtId="0" xfId="0" applyAlignment="1" applyFont="1">
      <alignment shrinkToFit="0" vertical="center" wrapText="1"/>
    </xf>
    <xf borderId="0" fillId="0" fontId="10" numFmtId="0" xfId="0" applyAlignment="1" applyFont="1">
      <alignment shrinkToFit="0" vertical="center" wrapText="1"/>
    </xf>
    <xf borderId="0" fillId="0" fontId="3" numFmtId="0" xfId="0" applyAlignment="1" applyFont="1">
      <alignment shrinkToFit="0" vertical="bottom" wrapText="0"/>
    </xf>
    <xf borderId="5" fillId="3" fontId="5" numFmtId="164" xfId="0" applyAlignment="1" applyBorder="1" applyFill="1" applyFont="1" applyNumberFormat="1">
      <alignment shrinkToFit="0" vertical="bottom" wrapText="0"/>
    </xf>
    <xf borderId="5" fillId="3" fontId="5" numFmtId="165" xfId="0" applyAlignment="1" applyBorder="1" applyFill="1" applyFont="1" applyNumberFormat="1">
      <alignment shrinkToFit="0" vertical="bottom" wrapText="0"/>
    </xf>
    <xf borderId="0" fillId="0" fontId="12" numFmtId="0" xfId="0" applyAlignment="1" applyFont="1">
      <alignment shrinkToFit="0" vertical="bottom" wrapText="0"/>
    </xf>
    <xf borderId="6" fillId="6" fontId="9" numFmtId="0" xfId="0" applyAlignment="1" applyBorder="1" applyFill="1" applyFont="1">
      <alignment shrinkToFit="0" vertical="bottom" wrapText="0"/>
    </xf>
    <xf borderId="0" fillId="0" fontId="10" numFmtId="0" xfId="0" applyAlignment="1" applyFont="1">
      <alignment shrinkToFit="0" vertical="bottom" wrapText="0"/>
    </xf>
    <xf borderId="8" fillId="3" fontId="13" numFmtId="0" xfId="0" applyAlignment="1" applyBorder="1" applyFill="1" applyFont="1">
      <alignment shrinkToFit="0" vertical="top" wrapText="1"/>
    </xf>
    <xf borderId="9" fillId="0" fontId="2" numFmtId="0" xfId="0" applyBorder="1" applyFont="1"/>
    <xf borderId="10" fillId="0" fontId="2" numFmtId="0" xfId="0" applyBorder="1" applyFont="1"/>
    <xf borderId="0" fillId="0" fontId="6" numFmtId="0" xfId="0" applyAlignment="1" applyFont="1">
      <alignment shrinkToFit="0" vertical="top" wrapText="1"/>
    </xf>
    <xf borderId="0" fillId="0" fontId="24" numFmtId="0" xfId="0" applyAlignment="1" applyFont="1">
      <alignment shrinkToFit="0" vertical="center" wrapText="1"/>
    </xf>
    <xf borderId="4" fillId="0" fontId="25" numFmtId="0" xfId="0" applyAlignment="1" applyBorder="1" applyFont="1">
      <alignment shrinkToFit="0" vertical="top" wrapText="1"/>
    </xf>
    <xf borderId="4" fillId="0" fontId="5" numFmtId="0" xfId="0" applyAlignment="1" applyBorder="1" applyFont="1">
      <alignment shrinkToFit="0" vertical="top" wrapText="1"/>
    </xf>
    <xf borderId="4" fillId="0" fontId="14" numFmtId="0" xfId="0" applyAlignment="1" applyBorder="1" applyFont="1">
      <alignment shrinkToFit="0" vertical="top" wrapText="1"/>
    </xf>
    <xf borderId="4" fillId="0" fontId="2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46.0"/>
    <col customWidth="1" min="3" max="3" width="18.0"/>
    <col customWidth="1" min="4" max="6" width="26.0"/>
    <col customWidth="1" min="7" max="26" width="8.71"/>
  </cols>
  <sheetData>
    <row r="1" ht="27.75" customHeight="1">
      <c r="A1" s="1" t="s">
        <v>12</v>
      </c>
      <c r="B1" s="2"/>
      <c r="C1" s="2"/>
      <c r="D1" s="2"/>
      <c r="E1" s="2"/>
      <c r="F1" s="3"/>
    </row>
    <row r="2" ht="19.5" customHeight="1">
      <c r="A2" s="4" t="s">
        <v>30</v>
      </c>
    </row>
    <row r="4">
      <c r="A4" s="11" t="s">
        <v>34</v>
      </c>
    </row>
    <row r="5" ht="18.0" customHeight="1">
      <c r="A5" s="13" t="s">
        <v>37</v>
      </c>
    </row>
    <row r="6" ht="18.0" customHeight="1">
      <c r="A6" s="13" t="s">
        <v>39</v>
      </c>
    </row>
    <row r="7" ht="18.0" customHeight="1">
      <c r="A7" s="13" t="s">
        <v>40</v>
      </c>
    </row>
    <row r="8" ht="18.0" customHeight="1">
      <c r="A8" s="13" t="s">
        <v>41</v>
      </c>
    </row>
    <row r="9" ht="18.0" customHeight="1">
      <c r="A9" s="13" t="s">
        <v>42</v>
      </c>
    </row>
    <row r="11">
      <c r="A11" s="11" t="s">
        <v>45</v>
      </c>
    </row>
    <row r="12">
      <c r="A12" s="16" t="s">
        <v>49</v>
      </c>
      <c r="B12" s="13" t="s">
        <v>60</v>
      </c>
    </row>
    <row r="13">
      <c r="A13" s="18" t="s">
        <v>38</v>
      </c>
      <c r="B13" s="13" t="s">
        <v>69</v>
      </c>
    </row>
    <row r="14">
      <c r="A14" s="20" t="s">
        <v>71</v>
      </c>
      <c r="B14" s="13" t="s">
        <v>73</v>
      </c>
    </row>
    <row r="15">
      <c r="A15" s="22" t="s">
        <v>80</v>
      </c>
      <c r="B15" s="13" t="s">
        <v>90</v>
      </c>
    </row>
    <row r="16">
      <c r="A16" s="24" t="s">
        <v>94</v>
      </c>
      <c r="B16" s="13" t="s">
        <v>98</v>
      </c>
    </row>
    <row r="18">
      <c r="A18" s="11" t="s">
        <v>100</v>
      </c>
    </row>
    <row r="19">
      <c r="A19" s="25" t="s">
        <v>18</v>
      </c>
      <c r="B19" s="25" t="s">
        <v>103</v>
      </c>
      <c r="C19" s="25" t="s">
        <v>104</v>
      </c>
      <c r="D19" s="25" t="s">
        <v>105</v>
      </c>
    </row>
    <row r="20">
      <c r="A20" s="9" t="s">
        <v>31</v>
      </c>
      <c r="B20" s="26" t="s">
        <v>107</v>
      </c>
      <c r="C20" s="27" t="s">
        <v>114</v>
      </c>
      <c r="D20" s="18" t="str">
        <f>(COUNTA('1. Event Setup'!C5:C17)+COUNTA('1. Event Setup'!C19:C26)+COUNTA('1. Event Setup'!C28:C41))&amp;" of 35 answered"</f>
        <v>4 of 35 answered</v>
      </c>
    </row>
    <row r="21" ht="15.75" customHeight="1">
      <c r="A21" s="9" t="s">
        <v>119</v>
      </c>
      <c r="B21" s="26" t="s">
        <v>146</v>
      </c>
      <c r="C21" s="27" t="s">
        <v>148</v>
      </c>
      <c r="D21" s="18" t="str">
        <f>COUNTA('2. Footer Links'!A5:A14)&amp;" of 10 decided"</f>
        <v>0 of 10 decided</v>
      </c>
    </row>
    <row r="22" ht="15.75" customHeight="1">
      <c r="A22" s="9" t="s">
        <v>135</v>
      </c>
      <c r="B22" s="26" t="s">
        <v>154</v>
      </c>
      <c r="C22" s="27" t="s">
        <v>156</v>
      </c>
      <c r="D22" s="18" t="str">
        <f>COUNTA('3. Reg Paths'!A8:A27)&amp;" paths entered"</f>
        <v>0 paths entered</v>
      </c>
    </row>
    <row r="23" ht="15.75" customHeight="1">
      <c r="A23" s="9" t="s">
        <v>147</v>
      </c>
      <c r="B23" s="26" t="s">
        <v>169</v>
      </c>
      <c r="C23" s="27" t="s">
        <v>156</v>
      </c>
      <c r="D23" s="18" t="str">
        <f>COUNTA('4. Reg Types'!A8:A57)&amp;" reg types entered"</f>
        <v>0 reg types entered</v>
      </c>
    </row>
    <row r="24" ht="15.75" customHeight="1">
      <c r="A24" s="9" t="s">
        <v>182</v>
      </c>
      <c r="B24" s="26" t="s">
        <v>185</v>
      </c>
      <c r="C24" s="27" t="s">
        <v>156</v>
      </c>
      <c r="D24" s="18" t="str">
        <f>COUNTA('5. Admission Items'!A8:A57)&amp;" items entered"</f>
        <v>0 items entered</v>
      </c>
    </row>
    <row r="25" ht="15.75" customHeight="1">
      <c r="A25" s="9" t="s">
        <v>192</v>
      </c>
      <c r="B25" s="26" t="s">
        <v>195</v>
      </c>
      <c r="C25" s="27" t="s">
        <v>196</v>
      </c>
      <c r="D25" s="18" t="str">
        <f>COUNT('6. Pricing'!C6:D9)&amp;" of 8 tier dates set"</f>
        <v>0 of 8 tier dates set</v>
      </c>
    </row>
    <row r="26" ht="15.75" customHeight="1">
      <c r="A26" s="9" t="s">
        <v>205</v>
      </c>
      <c r="B26" s="26" t="s">
        <v>206</v>
      </c>
      <c r="C26" s="27" t="s">
        <v>156</v>
      </c>
      <c r="D26" s="18" t="str">
        <f>COUNTA('7. Discounts'!A8:A107)&amp;" codes entered"</f>
        <v>0 codes entered</v>
      </c>
    </row>
    <row r="27" ht="15.75" customHeight="1">
      <c r="A27" s="9" t="s">
        <v>224</v>
      </c>
      <c r="B27" s="26" t="s">
        <v>225</v>
      </c>
      <c r="C27" s="27" t="s">
        <v>156</v>
      </c>
      <c r="D27" s="18" t="str">
        <f>COUNTA('8. Vouchers'!A8:A57)&amp;" vouchers entered"</f>
        <v>0 vouchers entered</v>
      </c>
    </row>
    <row r="28" ht="15.75" customHeight="1">
      <c r="A28" s="9" t="s">
        <v>235</v>
      </c>
      <c r="B28" s="26" t="s">
        <v>237</v>
      </c>
      <c r="C28" s="27" t="s">
        <v>156</v>
      </c>
      <c r="D28" s="18" t="str">
        <f>COUNTA('9. Questions'!A8:A107)&amp;" questions entered"</f>
        <v>0 questions entered</v>
      </c>
    </row>
    <row r="29" ht="15.75" customHeight="1"/>
    <row r="30" ht="15.75" customHeight="1"/>
    <row r="31" ht="31.5" customHeight="1">
      <c r="A31" s="6" t="s">
        <v>248</v>
      </c>
    </row>
    <row r="32" ht="15.75" customHeight="1"/>
    <row r="33" ht="43.5" customHeight="1">
      <c r="A33" s="42" t="s">
        <v>250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2:F12"/>
    <mergeCell ref="B13:F13"/>
    <mergeCell ref="B14:F14"/>
    <mergeCell ref="B15:F15"/>
    <mergeCell ref="B16:F16"/>
    <mergeCell ref="A31:F31"/>
    <mergeCell ref="A33:F33"/>
    <mergeCell ref="A1:F1"/>
    <mergeCell ref="A2:F2"/>
    <mergeCell ref="A5:F5"/>
    <mergeCell ref="A6:F6"/>
    <mergeCell ref="A7:F7"/>
    <mergeCell ref="A8:F8"/>
    <mergeCell ref="A9:F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8.0"/>
    <col customWidth="1" min="3" max="3" width="34.0"/>
    <col customWidth="1" min="4" max="4" width="44.0"/>
    <col customWidth="1" min="5" max="5" width="20.0"/>
    <col customWidth="1" min="6" max="6" width="64.0"/>
    <col customWidth="1" min="7" max="7" width="14.0"/>
    <col customWidth="1" min="8" max="8" width="30.0"/>
    <col customWidth="1" min="9" max="26" width="8.71"/>
  </cols>
  <sheetData>
    <row r="1" ht="27.75" customHeight="1">
      <c r="A1" s="1" t="s">
        <v>2</v>
      </c>
      <c r="B1" s="2"/>
      <c r="C1" s="2"/>
      <c r="D1" s="2"/>
      <c r="E1" s="2"/>
      <c r="F1" s="2"/>
      <c r="G1" s="2"/>
      <c r="H1" s="3"/>
    </row>
    <row r="2" ht="33.75" customHeight="1">
      <c r="A2" s="6" t="s">
        <v>11</v>
      </c>
    </row>
    <row r="4" ht="30.0" customHeight="1">
      <c r="A4" s="5" t="s">
        <v>16</v>
      </c>
      <c r="B4" s="5" t="s">
        <v>18</v>
      </c>
      <c r="C4" s="5" t="s">
        <v>20</v>
      </c>
      <c r="D4" s="5" t="s">
        <v>21</v>
      </c>
      <c r="E4" s="5" t="s">
        <v>24</v>
      </c>
      <c r="F4" s="5" t="s">
        <v>26</v>
      </c>
      <c r="G4" s="5" t="s">
        <v>27</v>
      </c>
      <c r="H4" s="5" t="s">
        <v>28</v>
      </c>
    </row>
    <row r="5" ht="45.75" customHeight="1">
      <c r="A5" s="8">
        <v>1.0</v>
      </c>
      <c r="B5" s="8" t="s">
        <v>31</v>
      </c>
      <c r="C5" s="10" t="s">
        <v>33</v>
      </c>
      <c r="D5" s="12" t="s">
        <v>36</v>
      </c>
      <c r="E5" s="17" t="s">
        <v>50</v>
      </c>
      <c r="F5" s="8" t="s">
        <v>67</v>
      </c>
      <c r="G5" s="21"/>
      <c r="H5" s="21"/>
    </row>
    <row r="6" ht="45.75" customHeight="1">
      <c r="A6" s="8">
        <v>2.0</v>
      </c>
      <c r="B6" s="8" t="s">
        <v>31</v>
      </c>
      <c r="C6" s="10" t="s">
        <v>95</v>
      </c>
      <c r="D6" s="12" t="s">
        <v>96</v>
      </c>
      <c r="E6" s="17" t="s">
        <v>50</v>
      </c>
      <c r="F6" s="8" t="s">
        <v>99</v>
      </c>
      <c r="G6" s="21"/>
      <c r="H6" s="21"/>
    </row>
    <row r="7" ht="45.75" customHeight="1">
      <c r="A7" s="8">
        <v>3.0</v>
      </c>
      <c r="B7" s="8" t="s">
        <v>31</v>
      </c>
      <c r="C7" s="10" t="s">
        <v>102</v>
      </c>
      <c r="D7" s="12" t="s">
        <v>96</v>
      </c>
      <c r="E7" s="17" t="s">
        <v>50</v>
      </c>
      <c r="F7" s="8" t="s">
        <v>106</v>
      </c>
      <c r="G7" s="21"/>
      <c r="H7" s="21"/>
    </row>
    <row r="8" ht="45.75" customHeight="1">
      <c r="A8" s="8">
        <v>4.0</v>
      </c>
      <c r="B8" s="8" t="s">
        <v>31</v>
      </c>
      <c r="C8" s="10" t="s">
        <v>108</v>
      </c>
      <c r="D8" s="12" t="s">
        <v>96</v>
      </c>
      <c r="E8" s="17" t="s">
        <v>50</v>
      </c>
      <c r="F8" s="8" t="s">
        <v>113</v>
      </c>
      <c r="G8" s="21"/>
      <c r="H8" s="21"/>
    </row>
    <row r="9" ht="45.75" customHeight="1">
      <c r="A9" s="28">
        <v>5.0</v>
      </c>
      <c r="B9" s="28" t="s">
        <v>119</v>
      </c>
      <c r="C9" s="30" t="s">
        <v>83</v>
      </c>
      <c r="D9" s="31" t="s">
        <v>123</v>
      </c>
      <c r="E9" s="32" t="s">
        <v>128</v>
      </c>
      <c r="F9" s="28" t="s">
        <v>131</v>
      </c>
      <c r="G9" s="21"/>
      <c r="H9" s="21"/>
    </row>
    <row r="10" ht="45.75" customHeight="1">
      <c r="A10" s="8">
        <v>6.0</v>
      </c>
      <c r="B10" s="8" t="s">
        <v>135</v>
      </c>
      <c r="C10" s="10" t="s">
        <v>136</v>
      </c>
      <c r="D10" s="12" t="s">
        <v>137</v>
      </c>
      <c r="E10" s="33" t="s">
        <v>138</v>
      </c>
      <c r="F10" s="8" t="s">
        <v>139</v>
      </c>
      <c r="G10" s="21"/>
      <c r="H10" s="21"/>
    </row>
    <row r="11" ht="45.75" customHeight="1">
      <c r="A11" s="8">
        <v>7.0</v>
      </c>
      <c r="B11" s="8" t="s">
        <v>135</v>
      </c>
      <c r="C11" s="10" t="s">
        <v>140</v>
      </c>
      <c r="D11" s="12" t="s">
        <v>141</v>
      </c>
      <c r="E11" s="17" t="s">
        <v>50</v>
      </c>
      <c r="F11" s="8" t="s">
        <v>142</v>
      </c>
      <c r="G11" s="21"/>
      <c r="H11" s="21"/>
    </row>
    <row r="12" ht="45.75" customHeight="1">
      <c r="A12" s="8">
        <v>8.0</v>
      </c>
      <c r="B12" s="8" t="s">
        <v>135</v>
      </c>
      <c r="C12" s="10" t="s">
        <v>143</v>
      </c>
      <c r="D12" s="12" t="s">
        <v>144</v>
      </c>
      <c r="E12" s="33" t="s">
        <v>138</v>
      </c>
      <c r="F12" s="8" t="s">
        <v>145</v>
      </c>
      <c r="G12" s="21"/>
      <c r="H12" s="21"/>
    </row>
    <row r="13" ht="45.75" customHeight="1">
      <c r="A13" s="8">
        <v>9.0</v>
      </c>
      <c r="B13" s="8" t="s">
        <v>147</v>
      </c>
      <c r="C13" s="10" t="s">
        <v>149</v>
      </c>
      <c r="D13" s="12" t="s">
        <v>150</v>
      </c>
      <c r="E13" s="17" t="s">
        <v>50</v>
      </c>
      <c r="F13" s="8" t="s">
        <v>151</v>
      </c>
      <c r="G13" s="21"/>
      <c r="H13" s="21"/>
    </row>
    <row r="14" ht="45.75" customHeight="1">
      <c r="A14" s="8">
        <v>10.0</v>
      </c>
      <c r="B14" s="8" t="s">
        <v>147</v>
      </c>
      <c r="C14" s="10" t="s">
        <v>152</v>
      </c>
      <c r="D14" s="12" t="s">
        <v>155</v>
      </c>
      <c r="E14" s="17" t="s">
        <v>50</v>
      </c>
      <c r="F14" s="8" t="s">
        <v>161</v>
      </c>
      <c r="G14" s="21"/>
      <c r="H14" s="21"/>
    </row>
    <row r="15" ht="45.75" customHeight="1">
      <c r="A15" s="8">
        <v>11.0</v>
      </c>
      <c r="B15" s="8" t="s">
        <v>147</v>
      </c>
      <c r="C15" s="10" t="s">
        <v>163</v>
      </c>
      <c r="D15" s="12" t="s">
        <v>164</v>
      </c>
      <c r="E15" s="17" t="s">
        <v>50</v>
      </c>
      <c r="F15" s="8" t="s">
        <v>165</v>
      </c>
      <c r="G15" s="21"/>
      <c r="H15" s="21"/>
    </row>
    <row r="16" ht="45.75" customHeight="1">
      <c r="A16" s="8">
        <v>12.0</v>
      </c>
      <c r="B16" s="8" t="s">
        <v>147</v>
      </c>
      <c r="C16" s="10" t="s">
        <v>170</v>
      </c>
      <c r="D16" s="12" t="s">
        <v>171</v>
      </c>
      <c r="E16" s="17" t="s">
        <v>50</v>
      </c>
      <c r="F16" s="8" t="s">
        <v>172</v>
      </c>
      <c r="G16" s="21"/>
      <c r="H16" s="21"/>
    </row>
    <row r="17" ht="45.75" customHeight="1">
      <c r="A17" s="8">
        <v>13.0</v>
      </c>
      <c r="B17" s="8" t="s">
        <v>147</v>
      </c>
      <c r="C17" s="10" t="s">
        <v>175</v>
      </c>
      <c r="D17" s="12" t="s">
        <v>176</v>
      </c>
      <c r="E17" s="33" t="s">
        <v>138</v>
      </c>
      <c r="F17" s="8" t="s">
        <v>178</v>
      </c>
      <c r="G17" s="21"/>
      <c r="H17" s="21"/>
    </row>
    <row r="18" ht="45.75" customHeight="1">
      <c r="A18" s="28">
        <v>14.0</v>
      </c>
      <c r="B18" s="28" t="s">
        <v>147</v>
      </c>
      <c r="C18" s="30" t="s">
        <v>181</v>
      </c>
      <c r="D18" s="38" t="s">
        <v>184</v>
      </c>
      <c r="E18" s="32" t="s">
        <v>128</v>
      </c>
      <c r="F18" s="28" t="s">
        <v>191</v>
      </c>
      <c r="G18" s="21"/>
      <c r="H18" s="21"/>
    </row>
    <row r="19" ht="45.75" customHeight="1">
      <c r="A19" s="28">
        <v>15.0</v>
      </c>
      <c r="B19" s="28" t="s">
        <v>147</v>
      </c>
      <c r="C19" s="30" t="s">
        <v>194</v>
      </c>
      <c r="D19" s="38" t="s">
        <v>184</v>
      </c>
      <c r="E19" s="32" t="s">
        <v>128</v>
      </c>
      <c r="F19" s="28" t="s">
        <v>197</v>
      </c>
      <c r="G19" s="21"/>
      <c r="H19" s="21"/>
    </row>
    <row r="20" ht="45.75" customHeight="1">
      <c r="A20" s="28">
        <v>16.0</v>
      </c>
      <c r="B20" s="28" t="s">
        <v>147</v>
      </c>
      <c r="C20" s="30" t="s">
        <v>200</v>
      </c>
      <c r="D20" s="38" t="s">
        <v>184</v>
      </c>
      <c r="E20" s="32" t="s">
        <v>128</v>
      </c>
      <c r="F20" s="28" t="s">
        <v>202</v>
      </c>
      <c r="G20" s="21"/>
      <c r="H20" s="21"/>
    </row>
    <row r="21" ht="45.75" customHeight="1">
      <c r="A21" s="28">
        <v>17.0</v>
      </c>
      <c r="B21" s="28" t="s">
        <v>147</v>
      </c>
      <c r="C21" s="30" t="s">
        <v>210</v>
      </c>
      <c r="D21" s="38" t="s">
        <v>184</v>
      </c>
      <c r="E21" s="32" t="s">
        <v>128</v>
      </c>
      <c r="F21" s="28" t="s">
        <v>214</v>
      </c>
      <c r="G21" s="21"/>
      <c r="H21" s="21"/>
    </row>
    <row r="22" ht="45.75" customHeight="1">
      <c r="A22" s="8">
        <v>18.0</v>
      </c>
      <c r="B22" s="8" t="s">
        <v>147</v>
      </c>
      <c r="C22" s="10" t="s">
        <v>223</v>
      </c>
      <c r="D22" s="12" t="s">
        <v>226</v>
      </c>
      <c r="E22" s="17" t="s">
        <v>50</v>
      </c>
      <c r="F22" s="8" t="s">
        <v>227</v>
      </c>
      <c r="G22" s="21"/>
      <c r="H22" s="21"/>
    </row>
    <row r="23" ht="45.75" customHeight="1">
      <c r="A23" s="8">
        <v>19.0</v>
      </c>
      <c r="B23" s="8" t="s">
        <v>182</v>
      </c>
      <c r="C23" s="10" t="s">
        <v>149</v>
      </c>
      <c r="D23" s="12" t="s">
        <v>150</v>
      </c>
      <c r="E23" s="17" t="s">
        <v>50</v>
      </c>
      <c r="F23" s="8" t="s">
        <v>234</v>
      </c>
      <c r="G23" s="21"/>
      <c r="H23" s="21"/>
    </row>
    <row r="24" ht="45.75" customHeight="1">
      <c r="A24" s="8">
        <v>20.0</v>
      </c>
      <c r="B24" s="8" t="s">
        <v>182</v>
      </c>
      <c r="C24" s="10" t="s">
        <v>152</v>
      </c>
      <c r="D24" s="12" t="s">
        <v>241</v>
      </c>
      <c r="E24" s="17" t="s">
        <v>50</v>
      </c>
      <c r="F24" s="8" t="s">
        <v>234</v>
      </c>
      <c r="G24" s="21"/>
      <c r="H24" s="21"/>
    </row>
    <row r="25" ht="45.75" customHeight="1">
      <c r="A25" s="8">
        <v>21.0</v>
      </c>
      <c r="B25" s="8" t="s">
        <v>182</v>
      </c>
      <c r="C25" s="10" t="s">
        <v>163</v>
      </c>
      <c r="D25" s="12" t="s">
        <v>241</v>
      </c>
      <c r="E25" s="17" t="s">
        <v>50</v>
      </c>
      <c r="F25" s="8" t="s">
        <v>234</v>
      </c>
      <c r="G25" s="21"/>
      <c r="H25" s="21"/>
    </row>
    <row r="26" ht="45.75" customHeight="1">
      <c r="A26" s="8">
        <v>22.0</v>
      </c>
      <c r="B26" s="8" t="s">
        <v>182</v>
      </c>
      <c r="C26" s="10" t="s">
        <v>170</v>
      </c>
      <c r="D26" s="12" t="s">
        <v>171</v>
      </c>
      <c r="E26" s="17" t="s">
        <v>50</v>
      </c>
      <c r="F26" s="8" t="s">
        <v>234</v>
      </c>
      <c r="G26" s="21"/>
      <c r="H26" s="21"/>
    </row>
    <row r="27" ht="45.75" customHeight="1">
      <c r="A27" s="8">
        <v>23.0</v>
      </c>
      <c r="B27" s="8" t="s">
        <v>182</v>
      </c>
      <c r="C27" s="10" t="s">
        <v>253</v>
      </c>
      <c r="D27" s="12" t="s">
        <v>150</v>
      </c>
      <c r="E27" s="17" t="s">
        <v>50</v>
      </c>
      <c r="F27" s="8" t="s">
        <v>254</v>
      </c>
      <c r="G27" s="21"/>
      <c r="H27" s="21"/>
    </row>
    <row r="28" ht="45.75" customHeight="1">
      <c r="A28" s="28">
        <v>24.0</v>
      </c>
      <c r="B28" s="28" t="s">
        <v>182</v>
      </c>
      <c r="C28" s="30" t="s">
        <v>257</v>
      </c>
      <c r="D28" s="38" t="s">
        <v>184</v>
      </c>
      <c r="E28" s="32" t="s">
        <v>128</v>
      </c>
      <c r="F28" s="28" t="s">
        <v>262</v>
      </c>
      <c r="G28" s="21"/>
      <c r="H28" s="21"/>
    </row>
    <row r="29" ht="45.75" customHeight="1">
      <c r="A29" s="28">
        <v>25.0</v>
      </c>
      <c r="B29" s="28" t="s">
        <v>182</v>
      </c>
      <c r="C29" s="30" t="s">
        <v>263</v>
      </c>
      <c r="D29" s="38" t="s">
        <v>184</v>
      </c>
      <c r="E29" s="32" t="s">
        <v>128</v>
      </c>
      <c r="F29" s="28" t="s">
        <v>266</v>
      </c>
      <c r="G29" s="21"/>
      <c r="H29" s="21"/>
    </row>
    <row r="30" ht="45.75" customHeight="1">
      <c r="A30" s="8">
        <v>26.0</v>
      </c>
      <c r="B30" s="8" t="s">
        <v>192</v>
      </c>
      <c r="C30" s="10" t="s">
        <v>272</v>
      </c>
      <c r="D30" s="12" t="s">
        <v>273</v>
      </c>
      <c r="E30" s="17" t="s">
        <v>50</v>
      </c>
      <c r="F30" s="8" t="s">
        <v>275</v>
      </c>
      <c r="G30" s="21"/>
      <c r="H30" s="21"/>
    </row>
    <row r="31" ht="45.75" customHeight="1">
      <c r="A31" s="8">
        <v>27.0</v>
      </c>
      <c r="B31" s="8" t="s">
        <v>192</v>
      </c>
      <c r="C31" s="10" t="s">
        <v>287</v>
      </c>
      <c r="D31" s="12" t="s">
        <v>150</v>
      </c>
      <c r="E31" s="17" t="s">
        <v>50</v>
      </c>
      <c r="F31" s="8" t="s">
        <v>292</v>
      </c>
      <c r="G31" s="21"/>
      <c r="H31" s="21"/>
    </row>
    <row r="32" ht="45.75" customHeight="1">
      <c r="A32" s="8">
        <v>28.0</v>
      </c>
      <c r="B32" s="8" t="s">
        <v>205</v>
      </c>
      <c r="C32" s="10" t="s">
        <v>294</v>
      </c>
      <c r="D32" s="12" t="s">
        <v>295</v>
      </c>
      <c r="E32" s="17" t="s">
        <v>50</v>
      </c>
      <c r="F32" s="8" t="s">
        <v>296</v>
      </c>
      <c r="G32" s="21"/>
      <c r="H32" s="21"/>
    </row>
    <row r="33" ht="45.75" customHeight="1">
      <c r="A33" s="28">
        <v>29.0</v>
      </c>
      <c r="B33" s="28" t="s">
        <v>224</v>
      </c>
      <c r="C33" s="30" t="s">
        <v>297</v>
      </c>
      <c r="D33" s="38" t="s">
        <v>184</v>
      </c>
      <c r="E33" s="32" t="s">
        <v>128</v>
      </c>
      <c r="F33" s="28" t="s">
        <v>298</v>
      </c>
      <c r="G33" s="21"/>
      <c r="H33" s="21"/>
    </row>
    <row r="34" ht="45.75" customHeight="1">
      <c r="A34" s="8">
        <v>30.0</v>
      </c>
      <c r="B34" s="8" t="s">
        <v>235</v>
      </c>
      <c r="C34" s="10" t="s">
        <v>299</v>
      </c>
      <c r="D34" s="12" t="s">
        <v>300</v>
      </c>
      <c r="E34" s="33" t="s">
        <v>138</v>
      </c>
      <c r="F34" s="8" t="s">
        <v>301</v>
      </c>
      <c r="G34" s="21"/>
      <c r="H34" s="21"/>
    </row>
    <row r="35" ht="45.75" customHeight="1">
      <c r="A35" s="8">
        <v>31.0</v>
      </c>
      <c r="B35" s="8" t="s">
        <v>235</v>
      </c>
      <c r="C35" s="10" t="s">
        <v>302</v>
      </c>
      <c r="D35" s="12" t="s">
        <v>303</v>
      </c>
      <c r="E35" s="33" t="s">
        <v>138</v>
      </c>
      <c r="F35" s="8" t="s">
        <v>304</v>
      </c>
      <c r="G35" s="21"/>
      <c r="H35" s="21"/>
    </row>
    <row r="36" ht="45.75" customHeight="1">
      <c r="A36" s="8">
        <v>32.0</v>
      </c>
      <c r="B36" s="8" t="s">
        <v>235</v>
      </c>
      <c r="C36" s="10" t="s">
        <v>305</v>
      </c>
      <c r="D36" s="12" t="s">
        <v>306</v>
      </c>
      <c r="E36" s="17" t="s">
        <v>50</v>
      </c>
      <c r="F36" s="8" t="s">
        <v>308</v>
      </c>
      <c r="G36" s="21"/>
      <c r="H36" s="21"/>
    </row>
    <row r="37" ht="15.75" customHeight="1"/>
    <row r="38" ht="24.0" customHeight="1">
      <c r="A38" s="48" t="str">
        <f>COUNTIF(G5:G36,"Confirmed")&amp;" of 32 confirmed  |  "&amp;COUNTIF(G5:G36,"Change it")&amp;" flagged for change  |  "&amp;(32-COUNTIF(G5:G36,"Confirmed")-COUNTIF(G5:G36,"Change it"))&amp;" still open"</f>
        <v>0 of 32 confirmed  |  0 flagged for change  |  32 still open</v>
      </c>
    </row>
    <row r="39" ht="15.75" customHeight="1"/>
    <row r="40" ht="63.75" customHeight="1">
      <c r="A40" s="49" t="s">
        <v>321</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A38:H38"/>
    <mergeCell ref="A40:H40"/>
  </mergeCells>
  <dataValidations>
    <dataValidation type="list" allowBlank="1" sqref="G5:G36">
      <formula1>"Confirmed,Change it"</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7.0"/>
    <col customWidth="1" min="2" max="2" width="42.0"/>
    <col customWidth="1" min="3" max="3" width="30.0"/>
    <col customWidth="1" min="4" max="4" width="28.0"/>
    <col customWidth="1" min="5" max="5" width="26.0"/>
    <col customWidth="1" min="6" max="6" width="28.0"/>
    <col customWidth="1" min="7" max="7" width="32.0"/>
    <col customWidth="1" min="8" max="8" width="52.0"/>
    <col customWidth="1" min="9" max="26" width="8.71"/>
  </cols>
  <sheetData>
    <row r="1" ht="27.75" customHeight="1">
      <c r="A1" s="1" t="s">
        <v>1</v>
      </c>
      <c r="B1" s="2"/>
      <c r="C1" s="2"/>
      <c r="D1" s="2"/>
      <c r="E1" s="2"/>
      <c r="F1" s="2"/>
      <c r="G1" s="2"/>
      <c r="H1" s="3"/>
    </row>
    <row r="2" ht="19.5" customHeight="1">
      <c r="A2" s="4" t="s">
        <v>10</v>
      </c>
    </row>
    <row r="4" ht="30.0" customHeight="1">
      <c r="A4" s="5" t="s">
        <v>13</v>
      </c>
      <c r="B4" s="5" t="s">
        <v>14</v>
      </c>
      <c r="C4" s="5" t="s">
        <v>15</v>
      </c>
      <c r="D4" s="5" t="s">
        <v>7</v>
      </c>
      <c r="E4" s="5" t="s">
        <v>17</v>
      </c>
      <c r="F4" s="5" t="s">
        <v>19</v>
      </c>
      <c r="G4" s="5" t="s">
        <v>22</v>
      </c>
      <c r="H4" s="5" t="s">
        <v>25</v>
      </c>
    </row>
    <row r="5" ht="30.0" customHeight="1">
      <c r="A5" s="8" t="s">
        <v>29</v>
      </c>
      <c r="B5" s="10" t="s">
        <v>32</v>
      </c>
      <c r="C5" s="15"/>
      <c r="D5" s="12" t="s">
        <v>59</v>
      </c>
      <c r="E5" s="8" t="s">
        <v>62</v>
      </c>
      <c r="F5" s="8" t="s">
        <v>64</v>
      </c>
      <c r="G5" s="8" t="s">
        <v>65</v>
      </c>
      <c r="H5" s="19" t="s">
        <v>68</v>
      </c>
    </row>
    <row r="6" ht="30.0" customHeight="1">
      <c r="A6" s="8" t="s">
        <v>29</v>
      </c>
      <c r="B6" s="10" t="s">
        <v>70</v>
      </c>
      <c r="C6" s="15"/>
      <c r="D6" s="12" t="s">
        <v>59</v>
      </c>
      <c r="E6" s="8" t="s">
        <v>62</v>
      </c>
      <c r="F6" s="8" t="s">
        <v>64</v>
      </c>
      <c r="G6" s="8" t="s">
        <v>72</v>
      </c>
      <c r="H6" s="19" t="s">
        <v>74</v>
      </c>
    </row>
    <row r="7" ht="30.0" customHeight="1">
      <c r="A7" s="8" t="s">
        <v>29</v>
      </c>
      <c r="B7" s="10" t="s">
        <v>75</v>
      </c>
      <c r="C7" s="15"/>
      <c r="D7" s="12" t="s">
        <v>78</v>
      </c>
      <c r="E7" s="8" t="s">
        <v>62</v>
      </c>
      <c r="F7" s="8" t="s">
        <v>81</v>
      </c>
      <c r="G7" s="8" t="s">
        <v>82</v>
      </c>
      <c r="H7" s="19" t="s">
        <v>84</v>
      </c>
    </row>
    <row r="8" ht="30.0" customHeight="1">
      <c r="A8" s="8" t="s">
        <v>29</v>
      </c>
      <c r="B8" s="10" t="s">
        <v>86</v>
      </c>
      <c r="C8" s="15"/>
      <c r="D8" s="12" t="s">
        <v>87</v>
      </c>
      <c r="E8" s="8" t="s">
        <v>62</v>
      </c>
      <c r="F8" s="8" t="s">
        <v>88</v>
      </c>
      <c r="G8" s="8" t="s">
        <v>89</v>
      </c>
      <c r="H8" s="19" t="s">
        <v>91</v>
      </c>
    </row>
    <row r="9" ht="30.0" customHeight="1">
      <c r="A9" s="8" t="s">
        <v>29</v>
      </c>
      <c r="B9" s="10" t="s">
        <v>92</v>
      </c>
      <c r="C9" s="15"/>
      <c r="D9" s="12" t="s">
        <v>92</v>
      </c>
      <c r="E9" s="8" t="s">
        <v>62</v>
      </c>
      <c r="F9" s="8" t="s">
        <v>88</v>
      </c>
      <c r="G9" s="8" t="s">
        <v>89</v>
      </c>
      <c r="H9" s="19" t="s">
        <v>38</v>
      </c>
    </row>
    <row r="10" ht="30.0" customHeight="1">
      <c r="A10" s="8" t="s">
        <v>29</v>
      </c>
      <c r="B10" s="10" t="s">
        <v>97</v>
      </c>
      <c r="C10" s="15"/>
      <c r="D10" s="12" t="s">
        <v>97</v>
      </c>
      <c r="E10" s="8" t="s">
        <v>62</v>
      </c>
      <c r="F10" s="8" t="s">
        <v>88</v>
      </c>
      <c r="G10" s="8" t="s">
        <v>89</v>
      </c>
      <c r="H10" s="19" t="s">
        <v>38</v>
      </c>
    </row>
    <row r="11" ht="30.0" customHeight="1">
      <c r="A11" s="8" t="s">
        <v>29</v>
      </c>
      <c r="B11" s="10" t="s">
        <v>101</v>
      </c>
      <c r="C11" s="15"/>
      <c r="D11" s="12" t="s">
        <v>109</v>
      </c>
      <c r="E11" s="8" t="s">
        <v>62</v>
      </c>
      <c r="F11" s="8" t="s">
        <v>110</v>
      </c>
      <c r="G11" s="8" t="s">
        <v>111</v>
      </c>
      <c r="H11" s="19" t="s">
        <v>112</v>
      </c>
    </row>
    <row r="12" ht="30.0" customHeight="1">
      <c r="A12" s="8" t="s">
        <v>29</v>
      </c>
      <c r="B12" s="10" t="s">
        <v>115</v>
      </c>
      <c r="C12" s="15"/>
      <c r="D12" s="12" t="s">
        <v>116</v>
      </c>
      <c r="E12" s="8" t="s">
        <v>62</v>
      </c>
      <c r="F12" s="8" t="s">
        <v>110</v>
      </c>
      <c r="G12" s="8" t="s">
        <v>117</v>
      </c>
      <c r="H12" s="19" t="s">
        <v>38</v>
      </c>
    </row>
    <row r="13" ht="30.0" customHeight="1">
      <c r="A13" s="8" t="s">
        <v>29</v>
      </c>
      <c r="B13" s="10" t="s">
        <v>118</v>
      </c>
      <c r="C13" s="29"/>
      <c r="D13" s="12" t="s">
        <v>120</v>
      </c>
      <c r="E13" s="8" t="s">
        <v>62</v>
      </c>
      <c r="F13" s="8" t="s">
        <v>88</v>
      </c>
      <c r="G13" s="8" t="s">
        <v>121</v>
      </c>
      <c r="H13" s="19" t="s">
        <v>38</v>
      </c>
    </row>
    <row r="14" ht="30.0" customHeight="1">
      <c r="A14" s="8" t="s">
        <v>29</v>
      </c>
      <c r="B14" s="10" t="s">
        <v>122</v>
      </c>
      <c r="C14" s="29"/>
      <c r="D14" s="12" t="s">
        <v>120</v>
      </c>
      <c r="E14" s="8" t="s">
        <v>62</v>
      </c>
      <c r="F14" s="8" t="s">
        <v>88</v>
      </c>
      <c r="G14" s="8" t="s">
        <v>121</v>
      </c>
      <c r="H14" s="19" t="s">
        <v>38</v>
      </c>
    </row>
    <row r="15" ht="30.0" customHeight="1">
      <c r="A15" s="8" t="s">
        <v>29</v>
      </c>
      <c r="B15" s="10" t="s">
        <v>124</v>
      </c>
      <c r="C15" s="29"/>
      <c r="D15" s="12" t="s">
        <v>125</v>
      </c>
      <c r="E15" s="8" t="s">
        <v>62</v>
      </c>
      <c r="F15" s="8" t="s">
        <v>88</v>
      </c>
      <c r="G15" s="8" t="s">
        <v>126</v>
      </c>
      <c r="H15" s="19" t="s">
        <v>127</v>
      </c>
    </row>
    <row r="16" ht="30.0" customHeight="1">
      <c r="A16" s="8" t="s">
        <v>29</v>
      </c>
      <c r="B16" s="10" t="s">
        <v>129</v>
      </c>
      <c r="C16" s="29"/>
      <c r="D16" s="12" t="s">
        <v>125</v>
      </c>
      <c r="E16" s="8" t="s">
        <v>62</v>
      </c>
      <c r="F16" s="8" t="s">
        <v>88</v>
      </c>
      <c r="G16" s="8" t="s">
        <v>126</v>
      </c>
      <c r="H16" s="19" t="s">
        <v>38</v>
      </c>
    </row>
    <row r="17" ht="30.0" customHeight="1">
      <c r="A17" s="8" t="s">
        <v>29</v>
      </c>
      <c r="B17" s="10" t="s">
        <v>130</v>
      </c>
      <c r="C17" s="15"/>
      <c r="D17" s="12" t="s">
        <v>23</v>
      </c>
      <c r="E17" s="8" t="s">
        <v>62</v>
      </c>
      <c r="F17" s="8" t="s">
        <v>88</v>
      </c>
      <c r="G17" s="8" t="s">
        <v>132</v>
      </c>
      <c r="H17" s="19" t="s">
        <v>133</v>
      </c>
    </row>
    <row r="18" ht="30.0" customHeight="1">
      <c r="A18" s="8" t="s">
        <v>29</v>
      </c>
      <c r="B18" s="10" t="s">
        <v>134</v>
      </c>
      <c r="C18" s="34" t="str">
        <f>IF('6. Pricing'!D9="","",'6. Pricing'!D9)</f>
        <v/>
      </c>
      <c r="D18" s="12" t="s">
        <v>153</v>
      </c>
      <c r="E18" s="8" t="s">
        <v>157</v>
      </c>
      <c r="F18" s="8" t="s">
        <v>158</v>
      </c>
      <c r="G18" s="8" t="s">
        <v>159</v>
      </c>
      <c r="H18" s="19" t="s">
        <v>160</v>
      </c>
    </row>
    <row r="19" ht="30.0" customHeight="1">
      <c r="A19" s="8" t="s">
        <v>29</v>
      </c>
      <c r="B19" s="10" t="s">
        <v>162</v>
      </c>
      <c r="C19" s="35"/>
      <c r="D19" s="12" t="s">
        <v>166</v>
      </c>
      <c r="E19" s="8" t="s">
        <v>157</v>
      </c>
      <c r="F19" s="8" t="s">
        <v>158</v>
      </c>
      <c r="G19" s="8" t="s">
        <v>167</v>
      </c>
      <c r="H19" s="19" t="s">
        <v>168</v>
      </c>
    </row>
    <row r="20" ht="30.0" customHeight="1">
      <c r="A20" s="8" t="s">
        <v>29</v>
      </c>
      <c r="B20" s="10" t="s">
        <v>33</v>
      </c>
      <c r="C20" s="36" t="s">
        <v>36</v>
      </c>
      <c r="D20" s="12" t="s">
        <v>173</v>
      </c>
      <c r="E20" s="8" t="s">
        <v>157</v>
      </c>
      <c r="F20" s="8" t="s">
        <v>158</v>
      </c>
      <c r="G20" s="8" t="s">
        <v>174</v>
      </c>
      <c r="H20" s="37" t="s">
        <v>177</v>
      </c>
    </row>
    <row r="21" ht="30.0" customHeight="1">
      <c r="A21" s="8" t="s">
        <v>179</v>
      </c>
      <c r="B21" s="10" t="s">
        <v>180</v>
      </c>
      <c r="C21" s="15"/>
      <c r="D21" s="12" t="s">
        <v>183</v>
      </c>
      <c r="E21" s="8" t="s">
        <v>186</v>
      </c>
      <c r="F21" s="8" t="s">
        <v>187</v>
      </c>
      <c r="G21" s="8" t="s">
        <v>188</v>
      </c>
      <c r="H21" s="19" t="s">
        <v>189</v>
      </c>
    </row>
    <row r="22" ht="30.0" customHeight="1">
      <c r="A22" s="8" t="s">
        <v>179</v>
      </c>
      <c r="B22" s="10" t="s">
        <v>190</v>
      </c>
      <c r="C22" s="15"/>
      <c r="D22" s="12" t="s">
        <v>183</v>
      </c>
      <c r="E22" s="8" t="s">
        <v>186</v>
      </c>
      <c r="F22" s="8" t="s">
        <v>187</v>
      </c>
      <c r="G22" s="8" t="s">
        <v>188</v>
      </c>
      <c r="H22" s="19" t="s">
        <v>38</v>
      </c>
    </row>
    <row r="23" ht="30.0" customHeight="1">
      <c r="A23" s="39" t="s">
        <v>179</v>
      </c>
      <c r="B23" s="40" t="s">
        <v>193</v>
      </c>
      <c r="C23" s="15"/>
      <c r="D23" s="12" t="s">
        <v>198</v>
      </c>
      <c r="E23" s="8" t="s">
        <v>186</v>
      </c>
      <c r="F23" s="8" t="s">
        <v>199</v>
      </c>
      <c r="G23" s="8" t="s">
        <v>174</v>
      </c>
      <c r="H23" s="8" t="s">
        <v>201</v>
      </c>
    </row>
    <row r="24" ht="30.0" customHeight="1">
      <c r="A24" s="39" t="s">
        <v>179</v>
      </c>
      <c r="B24" s="40" t="s">
        <v>203</v>
      </c>
      <c r="C24" s="15"/>
      <c r="D24" s="12" t="s">
        <v>204</v>
      </c>
      <c r="E24" s="8" t="s">
        <v>186</v>
      </c>
      <c r="F24" s="8" t="s">
        <v>199</v>
      </c>
      <c r="G24" s="8" t="s">
        <v>207</v>
      </c>
      <c r="H24" s="8" t="s">
        <v>208</v>
      </c>
    </row>
    <row r="25" ht="30.0" customHeight="1">
      <c r="A25" s="39" t="s">
        <v>179</v>
      </c>
      <c r="B25" s="40" t="s">
        <v>209</v>
      </c>
      <c r="C25" s="15"/>
      <c r="D25" s="12" t="s">
        <v>211</v>
      </c>
      <c r="E25" s="8" t="s">
        <v>186</v>
      </c>
      <c r="F25" s="8" t="s">
        <v>212</v>
      </c>
      <c r="G25" s="8" t="s">
        <v>213</v>
      </c>
      <c r="H25" s="8" t="s">
        <v>215</v>
      </c>
    </row>
    <row r="26" ht="30.0" customHeight="1">
      <c r="A26" s="39" t="s">
        <v>216</v>
      </c>
      <c r="B26" s="40" t="s">
        <v>217</v>
      </c>
      <c r="C26" s="15"/>
      <c r="D26" s="12" t="s">
        <v>218</v>
      </c>
      <c r="E26" s="8" t="s">
        <v>186</v>
      </c>
      <c r="F26" s="8" t="s">
        <v>219</v>
      </c>
      <c r="G26" s="8" t="s">
        <v>220</v>
      </c>
      <c r="H26" s="8" t="s">
        <v>221</v>
      </c>
    </row>
    <row r="27" ht="30.0" customHeight="1">
      <c r="A27" s="8" t="s">
        <v>216</v>
      </c>
      <c r="B27" s="10" t="s">
        <v>222</v>
      </c>
      <c r="C27" s="41" t="s">
        <v>228</v>
      </c>
      <c r="D27" s="12" t="s">
        <v>229</v>
      </c>
      <c r="E27" s="8" t="s">
        <v>186</v>
      </c>
      <c r="F27" s="8" t="s">
        <v>88</v>
      </c>
      <c r="G27" s="8" t="s">
        <v>230</v>
      </c>
      <c r="H27" s="19" t="s">
        <v>231</v>
      </c>
    </row>
    <row r="28" ht="30.0" customHeight="1">
      <c r="A28" s="8" t="s">
        <v>232</v>
      </c>
      <c r="B28" s="10" t="s">
        <v>233</v>
      </c>
      <c r="C28" s="15"/>
      <c r="D28" s="12" t="s">
        <v>236</v>
      </c>
      <c r="E28" s="8" t="s">
        <v>186</v>
      </c>
      <c r="F28" s="8" t="s">
        <v>238</v>
      </c>
      <c r="G28" s="8" t="s">
        <v>239</v>
      </c>
      <c r="H28" s="19" t="s">
        <v>240</v>
      </c>
    </row>
    <row r="29" ht="30.0" customHeight="1">
      <c r="A29" s="8" t="s">
        <v>232</v>
      </c>
      <c r="B29" s="10" t="s">
        <v>242</v>
      </c>
      <c r="C29" s="15"/>
      <c r="D29" s="12" t="s">
        <v>236</v>
      </c>
      <c r="E29" s="8" t="s">
        <v>186</v>
      </c>
      <c r="F29" s="8" t="s">
        <v>238</v>
      </c>
      <c r="G29" s="8" t="s">
        <v>243</v>
      </c>
      <c r="H29" s="19" t="s">
        <v>38</v>
      </c>
    </row>
    <row r="30" ht="30.0" customHeight="1">
      <c r="A30" s="8" t="s">
        <v>232</v>
      </c>
      <c r="B30" s="10" t="s">
        <v>244</v>
      </c>
      <c r="C30" s="15"/>
      <c r="D30" s="12" t="s">
        <v>245</v>
      </c>
      <c r="E30" s="8" t="s">
        <v>186</v>
      </c>
      <c r="F30" s="8" t="s">
        <v>246</v>
      </c>
      <c r="G30" s="8" t="s">
        <v>247</v>
      </c>
      <c r="H30" s="19" t="s">
        <v>38</v>
      </c>
    </row>
    <row r="31" ht="30.0" customHeight="1">
      <c r="A31" s="8" t="s">
        <v>232</v>
      </c>
      <c r="B31" s="10" t="s">
        <v>249</v>
      </c>
      <c r="C31" s="15"/>
      <c r="D31" s="12" t="s">
        <v>245</v>
      </c>
      <c r="E31" s="8" t="s">
        <v>186</v>
      </c>
      <c r="F31" s="8" t="s">
        <v>246</v>
      </c>
      <c r="G31" s="8" t="s">
        <v>247</v>
      </c>
      <c r="H31" s="19" t="s">
        <v>38</v>
      </c>
    </row>
    <row r="32" ht="30.0" customHeight="1">
      <c r="A32" s="8" t="s">
        <v>232</v>
      </c>
      <c r="B32" s="10" t="s">
        <v>251</v>
      </c>
      <c r="C32" s="15"/>
      <c r="D32" s="12" t="s">
        <v>245</v>
      </c>
      <c r="E32" s="8" t="s">
        <v>186</v>
      </c>
      <c r="F32" s="8" t="s">
        <v>246</v>
      </c>
      <c r="G32" s="8" t="s">
        <v>247</v>
      </c>
      <c r="H32" s="19" t="s">
        <v>38</v>
      </c>
    </row>
    <row r="33" ht="30.0" customHeight="1">
      <c r="A33" s="8" t="s">
        <v>232</v>
      </c>
      <c r="B33" s="10" t="s">
        <v>252</v>
      </c>
      <c r="C33" s="15"/>
      <c r="D33" s="12" t="s">
        <v>245</v>
      </c>
      <c r="E33" s="8" t="s">
        <v>186</v>
      </c>
      <c r="F33" s="8" t="s">
        <v>246</v>
      </c>
      <c r="G33" s="8" t="s">
        <v>247</v>
      </c>
      <c r="H33" s="19" t="s">
        <v>38</v>
      </c>
    </row>
    <row r="34" ht="30.0" customHeight="1">
      <c r="A34" s="8" t="s">
        <v>232</v>
      </c>
      <c r="B34" s="10" t="s">
        <v>255</v>
      </c>
      <c r="C34" s="15"/>
      <c r="D34" s="12" t="s">
        <v>245</v>
      </c>
      <c r="E34" s="8" t="s">
        <v>186</v>
      </c>
      <c r="F34" s="8" t="s">
        <v>246</v>
      </c>
      <c r="G34" s="8" t="s">
        <v>247</v>
      </c>
      <c r="H34" s="19" t="s">
        <v>38</v>
      </c>
    </row>
    <row r="35" ht="30.0" customHeight="1">
      <c r="A35" s="8" t="s">
        <v>232</v>
      </c>
      <c r="B35" s="10" t="s">
        <v>256</v>
      </c>
      <c r="C35" s="15"/>
      <c r="D35" s="12" t="s">
        <v>258</v>
      </c>
      <c r="E35" s="8" t="s">
        <v>186</v>
      </c>
      <c r="F35" s="8" t="s">
        <v>259</v>
      </c>
      <c r="G35" s="8" t="s">
        <v>260</v>
      </c>
      <c r="H35" s="19" t="s">
        <v>261</v>
      </c>
    </row>
    <row r="36" ht="30.0" customHeight="1">
      <c r="A36" s="8" t="s">
        <v>232</v>
      </c>
      <c r="B36" s="10" t="s">
        <v>95</v>
      </c>
      <c r="C36" s="43" t="s">
        <v>96</v>
      </c>
      <c r="D36" s="12" t="s">
        <v>264</v>
      </c>
      <c r="E36" s="8" t="s">
        <v>186</v>
      </c>
      <c r="F36" s="8" t="s">
        <v>265</v>
      </c>
      <c r="G36" s="8" t="s">
        <v>267</v>
      </c>
      <c r="H36" s="37" t="s">
        <v>268</v>
      </c>
    </row>
    <row r="37" ht="30.0" customHeight="1">
      <c r="A37" s="8" t="s">
        <v>232</v>
      </c>
      <c r="B37" s="10" t="s">
        <v>102</v>
      </c>
      <c r="C37" s="43" t="s">
        <v>96</v>
      </c>
      <c r="D37" s="12" t="s">
        <v>269</v>
      </c>
      <c r="E37" s="8" t="s">
        <v>186</v>
      </c>
      <c r="F37" s="8" t="s">
        <v>270</v>
      </c>
      <c r="G37" s="8" t="s">
        <v>213</v>
      </c>
      <c r="H37" s="37" t="s">
        <v>271</v>
      </c>
    </row>
    <row r="38" ht="30.0" customHeight="1">
      <c r="A38" s="8" t="s">
        <v>232</v>
      </c>
      <c r="B38" s="10" t="s">
        <v>108</v>
      </c>
      <c r="C38" s="43" t="s">
        <v>96</v>
      </c>
      <c r="D38" s="12" t="s">
        <v>274</v>
      </c>
      <c r="E38" s="8" t="s">
        <v>186</v>
      </c>
      <c r="F38" s="8" t="s">
        <v>276</v>
      </c>
      <c r="G38" s="8" t="s">
        <v>267</v>
      </c>
      <c r="H38" s="37" t="s">
        <v>271</v>
      </c>
    </row>
    <row r="39" ht="30.0" customHeight="1">
      <c r="A39" s="8" t="s">
        <v>277</v>
      </c>
      <c r="B39" s="10" t="s">
        <v>278</v>
      </c>
      <c r="C39" s="15"/>
      <c r="D39" s="12" t="s">
        <v>278</v>
      </c>
      <c r="E39" s="8" t="s">
        <v>279</v>
      </c>
      <c r="F39" s="8" t="s">
        <v>280</v>
      </c>
      <c r="G39" s="8" t="s">
        <v>281</v>
      </c>
      <c r="H39" s="19" t="s">
        <v>282</v>
      </c>
    </row>
    <row r="40" ht="30.0" customHeight="1">
      <c r="A40" s="8" t="s">
        <v>277</v>
      </c>
      <c r="B40" s="10" t="s">
        <v>283</v>
      </c>
      <c r="C40" s="15"/>
      <c r="D40" s="12" t="s">
        <v>284</v>
      </c>
      <c r="E40" s="8" t="s">
        <v>279</v>
      </c>
      <c r="F40" s="8" t="s">
        <v>280</v>
      </c>
      <c r="G40" s="8" t="s">
        <v>281</v>
      </c>
      <c r="H40" s="19" t="s">
        <v>285</v>
      </c>
    </row>
    <row r="41" ht="30.0" customHeight="1">
      <c r="A41" s="8" t="s">
        <v>277</v>
      </c>
      <c r="B41" s="10" t="s">
        <v>286</v>
      </c>
      <c r="C41" s="15"/>
      <c r="D41" s="12" t="s">
        <v>288</v>
      </c>
      <c r="E41" s="8" t="s">
        <v>289</v>
      </c>
      <c r="F41" s="8" t="s">
        <v>290</v>
      </c>
      <c r="G41" s="8" t="s">
        <v>291</v>
      </c>
      <c r="H41" s="19" t="s">
        <v>293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C12">
      <formula1>"Trade Show,Conference,Trade Show + Conference,Virtual,Hybrid"</formula1>
    </dataValidation>
    <dataValidation type="list" allowBlank="1" sqref="C21">
      <formula1>"Carry over from prior year,New theme - specify below"</formula1>
    </dataValidation>
    <dataValidation type="list" allowBlank="1" sqref="C11">
      <formula1>"Eastern (ET),Central (CT),Mountain (MT),Pacific (PT),Alaska (AKT),Hawaii (HT)"</formula1>
    </dataValidation>
    <dataValidation type="list" allowBlank="1" sqref="C23 C28 C35">
      <formula1>"Yes,No"</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40.0"/>
    <col customWidth="1" min="3" max="3" width="30.0"/>
    <col customWidth="1" min="4" max="4" width="32.0"/>
    <col customWidth="1" min="5" max="5" width="20.0"/>
    <col customWidth="1" min="6" max="6" width="60.0"/>
    <col customWidth="1" min="7" max="26" width="8.71"/>
  </cols>
  <sheetData>
    <row r="1" ht="27.75" customHeight="1">
      <c r="A1" s="1" t="s">
        <v>0</v>
      </c>
      <c r="B1" s="2"/>
      <c r="C1" s="2"/>
      <c r="D1" s="2"/>
      <c r="E1" s="2"/>
      <c r="F1" s="3"/>
    </row>
    <row r="2" ht="19.5" customHeight="1">
      <c r="A2" s="4" t="s">
        <v>3</v>
      </c>
    </row>
    <row r="4" ht="30.0" customHeight="1">
      <c r="A4" s="5" t="s">
        <v>4</v>
      </c>
      <c r="B4" s="5" t="s">
        <v>5</v>
      </c>
      <c r="C4" s="5" t="s">
        <v>6</v>
      </c>
      <c r="D4" s="5" t="s">
        <v>7</v>
      </c>
      <c r="E4" s="5" t="s">
        <v>8</v>
      </c>
      <c r="F4" s="5" t="s">
        <v>9</v>
      </c>
    </row>
    <row r="5" ht="30.0" customHeight="1">
      <c r="A5" s="7"/>
      <c r="B5" s="7"/>
      <c r="C5" s="9" t="s">
        <v>23</v>
      </c>
      <c r="D5" s="12" t="s">
        <v>35</v>
      </c>
      <c r="E5" s="14" t="s">
        <v>38</v>
      </c>
      <c r="F5" s="8"/>
    </row>
    <row r="6" ht="30.0" customHeight="1">
      <c r="A6" s="7"/>
      <c r="B6" s="7"/>
      <c r="C6" s="9" t="s">
        <v>43</v>
      </c>
      <c r="D6" s="12" t="s">
        <v>44</v>
      </c>
      <c r="E6" s="14" t="s">
        <v>38</v>
      </c>
      <c r="F6" s="8"/>
    </row>
    <row r="7" ht="30.0" customHeight="1">
      <c r="A7" s="7"/>
      <c r="B7" s="7"/>
      <c r="C7" s="9" t="s">
        <v>46</v>
      </c>
      <c r="D7" s="12" t="s">
        <v>47</v>
      </c>
      <c r="E7" s="14" t="s">
        <v>38</v>
      </c>
      <c r="F7" s="8" t="s">
        <v>48</v>
      </c>
    </row>
    <row r="8" ht="30.0" customHeight="1">
      <c r="A8" s="7"/>
      <c r="B8" s="7"/>
      <c r="C8" s="9" t="s">
        <v>51</v>
      </c>
      <c r="D8" s="12" t="s">
        <v>52</v>
      </c>
      <c r="E8" s="14" t="s">
        <v>38</v>
      </c>
      <c r="F8" s="8" t="s">
        <v>53</v>
      </c>
    </row>
    <row r="9" ht="30.0" customHeight="1">
      <c r="A9" s="7"/>
      <c r="B9" s="7"/>
      <c r="C9" s="9" t="s">
        <v>54</v>
      </c>
      <c r="D9" s="12" t="s">
        <v>55</v>
      </c>
      <c r="E9" s="14" t="s">
        <v>38</v>
      </c>
      <c r="F9" s="8" t="s">
        <v>56</v>
      </c>
    </row>
    <row r="10" ht="30.0" customHeight="1">
      <c r="A10" s="7"/>
      <c r="B10" s="7"/>
      <c r="C10" s="9" t="s">
        <v>57</v>
      </c>
      <c r="D10" s="12" t="s">
        <v>58</v>
      </c>
      <c r="E10" s="14" t="s">
        <v>38</v>
      </c>
      <c r="F10" s="8" t="s">
        <v>56</v>
      </c>
    </row>
    <row r="11" ht="30.0" customHeight="1">
      <c r="A11" s="7"/>
      <c r="B11" s="7"/>
      <c r="C11" s="9" t="s">
        <v>61</v>
      </c>
      <c r="D11" s="12" t="s">
        <v>63</v>
      </c>
      <c r="E11" s="14" t="s">
        <v>38</v>
      </c>
      <c r="F11" s="8" t="s">
        <v>56</v>
      </c>
    </row>
    <row r="12" ht="30.0" customHeight="1">
      <c r="A12" s="7"/>
      <c r="B12" s="7"/>
      <c r="C12" s="9" t="s">
        <v>66</v>
      </c>
      <c r="D12" s="12" t="s">
        <v>66</v>
      </c>
      <c r="E12" s="14" t="s">
        <v>38</v>
      </c>
      <c r="F12" s="8" t="s">
        <v>56</v>
      </c>
    </row>
    <row r="13" ht="30.0" customHeight="1">
      <c r="A13" s="7"/>
      <c r="B13" s="7"/>
      <c r="C13" s="9" t="s">
        <v>76</v>
      </c>
      <c r="D13" s="12" t="s">
        <v>77</v>
      </c>
      <c r="E13" s="14" t="s">
        <v>38</v>
      </c>
      <c r="F13" s="8" t="s">
        <v>79</v>
      </c>
    </row>
    <row r="14" ht="30.0" customHeight="1">
      <c r="A14" s="7"/>
      <c r="B14" s="7"/>
      <c r="C14" s="9" t="s">
        <v>83</v>
      </c>
      <c r="D14" s="12" t="s">
        <v>85</v>
      </c>
      <c r="E14" s="23" t="s">
        <v>71</v>
      </c>
      <c r="F14" s="8"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A5:A14">
      <formula1>"Yes,No"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4" width="26.0"/>
    <col customWidth="1" min="5" max="26" width="8.71"/>
  </cols>
  <sheetData>
    <row r="1" ht="27.75" customHeight="1">
      <c r="A1" s="1" t="s">
        <v>307</v>
      </c>
      <c r="B1" s="2"/>
      <c r="C1" s="2"/>
      <c r="D1" s="3"/>
    </row>
    <row r="2" ht="19.5" customHeight="1">
      <c r="A2" s="4" t="s">
        <v>309</v>
      </c>
    </row>
    <row r="4" ht="25.5" customHeight="1">
      <c r="A4" s="44" t="s">
        <v>310</v>
      </c>
      <c r="B4" s="44" t="s">
        <v>311</v>
      </c>
      <c r="C4" s="44" t="s">
        <v>312</v>
      </c>
      <c r="D4" s="44" t="s">
        <v>313</v>
      </c>
    </row>
    <row r="5" ht="33.75" customHeight="1">
      <c r="A5" s="5" t="s">
        <v>143</v>
      </c>
      <c r="B5" s="5" t="s">
        <v>136</v>
      </c>
      <c r="C5" s="5" t="s">
        <v>140</v>
      </c>
      <c r="D5" s="5" t="s">
        <v>314</v>
      </c>
    </row>
    <row r="6" ht="24.0" customHeight="1">
      <c r="A6" s="45" t="s">
        <v>315</v>
      </c>
      <c r="B6" s="45" t="s">
        <v>316</v>
      </c>
      <c r="C6" s="45" t="s">
        <v>317</v>
      </c>
      <c r="D6" s="46"/>
    </row>
    <row r="7" ht="25.5" customHeight="1">
      <c r="A7" s="47" t="s">
        <v>318</v>
      </c>
      <c r="B7" s="47" t="s">
        <v>319</v>
      </c>
      <c r="C7" s="47" t="s">
        <v>141</v>
      </c>
      <c r="D7" s="47" t="s">
        <v>320</v>
      </c>
    </row>
    <row r="8" ht="25.5" customHeight="1">
      <c r="A8" s="15"/>
      <c r="B8" s="15"/>
      <c r="C8" s="15"/>
      <c r="D8" s="15"/>
    </row>
    <row r="9" ht="25.5" customHeight="1">
      <c r="A9" s="15"/>
      <c r="B9" s="15"/>
      <c r="C9" s="15"/>
      <c r="D9" s="15"/>
    </row>
    <row r="10" ht="25.5" customHeight="1">
      <c r="A10" s="15"/>
      <c r="B10" s="15"/>
      <c r="C10" s="15"/>
      <c r="D10" s="15"/>
    </row>
    <row r="11" ht="25.5" customHeight="1">
      <c r="A11" s="15"/>
      <c r="B11" s="15"/>
      <c r="C11" s="15"/>
      <c r="D11" s="15"/>
    </row>
    <row r="12" ht="25.5" customHeight="1">
      <c r="A12" s="15"/>
      <c r="B12" s="15"/>
      <c r="C12" s="15"/>
      <c r="D12" s="15"/>
    </row>
    <row r="13" ht="25.5" customHeight="1">
      <c r="A13" s="15"/>
      <c r="B13" s="15"/>
      <c r="C13" s="15"/>
      <c r="D13" s="15"/>
    </row>
    <row r="14" ht="25.5" customHeight="1">
      <c r="A14" s="15"/>
      <c r="B14" s="15"/>
      <c r="C14" s="15"/>
      <c r="D14" s="15"/>
    </row>
    <row r="15" ht="25.5" customHeight="1">
      <c r="A15" s="15"/>
      <c r="B15" s="15"/>
      <c r="C15" s="15"/>
      <c r="D15" s="15"/>
    </row>
    <row r="16" ht="25.5" customHeight="1">
      <c r="A16" s="15"/>
      <c r="B16" s="15"/>
      <c r="C16" s="15"/>
      <c r="D16" s="15"/>
    </row>
    <row r="17" ht="25.5" customHeight="1">
      <c r="A17" s="15"/>
      <c r="B17" s="15"/>
      <c r="C17" s="15"/>
      <c r="D17" s="15"/>
    </row>
    <row r="18" ht="25.5" customHeight="1">
      <c r="A18" s="15"/>
      <c r="B18" s="15"/>
      <c r="C18" s="15"/>
      <c r="D18" s="15"/>
    </row>
    <row r="19" ht="25.5" customHeight="1">
      <c r="A19" s="15"/>
      <c r="B19" s="15"/>
      <c r="C19" s="15"/>
      <c r="D19" s="15"/>
    </row>
    <row r="20" ht="25.5" customHeight="1">
      <c r="A20" s="15"/>
      <c r="B20" s="15"/>
      <c r="C20" s="15"/>
      <c r="D20" s="15"/>
    </row>
    <row r="21" ht="25.5" customHeight="1">
      <c r="A21" s="15"/>
      <c r="B21" s="15"/>
      <c r="C21" s="15"/>
      <c r="D21" s="15"/>
    </row>
    <row r="22" ht="25.5" customHeight="1">
      <c r="A22" s="15"/>
      <c r="B22" s="15"/>
      <c r="C22" s="15"/>
      <c r="D22" s="15"/>
    </row>
    <row r="23" ht="25.5" customHeight="1">
      <c r="A23" s="15"/>
      <c r="B23" s="15"/>
      <c r="C23" s="15"/>
      <c r="D23" s="15"/>
    </row>
    <row r="24" ht="25.5" customHeight="1">
      <c r="A24" s="15"/>
      <c r="B24" s="15"/>
      <c r="C24" s="15"/>
      <c r="D24" s="15"/>
    </row>
    <row r="25" ht="25.5" customHeight="1">
      <c r="A25" s="15"/>
      <c r="B25" s="15"/>
      <c r="C25" s="15"/>
      <c r="D25" s="15"/>
    </row>
    <row r="26" ht="25.5" customHeight="1">
      <c r="A26" s="15"/>
      <c r="B26" s="15"/>
      <c r="C26" s="15"/>
      <c r="D26" s="15"/>
    </row>
    <row r="27" ht="15.75" customHeight="1">
      <c r="A27" s="15"/>
      <c r="B27" s="15"/>
      <c r="C27" s="15"/>
      <c r="D27" s="15"/>
    </row>
    <row r="28" ht="15.75" customHeight="1"/>
    <row r="29" ht="15.75" customHeight="1">
      <c r="A29" s="50"/>
    </row>
    <row r="30" ht="27.75" customHeight="1">
      <c r="A30" s="51" t="s">
        <v>322</v>
      </c>
    </row>
    <row r="31" ht="27.75" customHeight="1">
      <c r="A31" s="52" t="s">
        <v>323</v>
      </c>
    </row>
    <row r="32" ht="15.75" customHeight="1">
      <c r="A32" s="52" t="s">
        <v>324</v>
      </c>
    </row>
    <row r="33" ht="27.75" customHeight="1">
      <c r="A33" s="52" t="s">
        <v>325</v>
      </c>
    </row>
    <row r="34" ht="15.75" customHeight="1">
      <c r="A34" s="53" t="s">
        <v>326</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29:D29"/>
    <mergeCell ref="A30:D30"/>
    <mergeCell ref="A31:D31"/>
    <mergeCell ref="A32:D32"/>
    <mergeCell ref="A33:D33"/>
  </mergeCells>
  <dataValidations>
    <dataValidation type="list" allowBlank="1" sqref="B7:B26">
      <formula1>"Public - on the registration site,Internal - registration staff only"</formula1>
    </dataValidation>
    <dataValidation type="list" allowBlank="1" sqref="C7:C26">
      <formula1>"Active,Inactive"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2" width="26.0"/>
    <col customWidth="1" min="13" max="26" width="8.71"/>
  </cols>
  <sheetData>
    <row r="1" ht="27.75" customHeight="1">
      <c r="A1" s="1" t="s">
        <v>327</v>
      </c>
      <c r="B1" s="2"/>
      <c r="C1" s="2"/>
      <c r="D1" s="2"/>
      <c r="E1" s="2"/>
      <c r="F1" s="2"/>
      <c r="G1" s="2"/>
      <c r="H1" s="2"/>
      <c r="I1" s="2"/>
      <c r="J1" s="2"/>
      <c r="K1" s="2"/>
      <c r="L1" s="3"/>
    </row>
    <row r="2" ht="19.5" customHeight="1">
      <c r="A2" s="4" t="s">
        <v>329</v>
      </c>
    </row>
    <row r="4" ht="25.5" customHeight="1">
      <c r="A4" s="44" t="s">
        <v>331</v>
      </c>
      <c r="B4" s="44" t="s">
        <v>332</v>
      </c>
      <c r="C4" s="44" t="s">
        <v>333</v>
      </c>
      <c r="D4" s="44" t="s">
        <v>333</v>
      </c>
      <c r="E4" s="44" t="s">
        <v>337</v>
      </c>
      <c r="F4" s="44" t="s">
        <v>339</v>
      </c>
      <c r="G4" s="44" t="s">
        <v>341</v>
      </c>
      <c r="H4" s="44" t="s">
        <v>340</v>
      </c>
      <c r="I4" s="44" t="s">
        <v>342</v>
      </c>
      <c r="J4" s="44" t="s">
        <v>342</v>
      </c>
      <c r="K4" s="44" t="s">
        <v>343</v>
      </c>
      <c r="L4" s="44" t="s">
        <v>346</v>
      </c>
    </row>
    <row r="5" ht="33.75" customHeight="1">
      <c r="A5" s="5" t="s">
        <v>348</v>
      </c>
      <c r="B5" s="5" t="s">
        <v>349</v>
      </c>
      <c r="C5" s="5" t="s">
        <v>181</v>
      </c>
      <c r="D5" s="5" t="s">
        <v>194</v>
      </c>
      <c r="E5" s="5" t="s">
        <v>200</v>
      </c>
      <c r="F5" s="5" t="s">
        <v>210</v>
      </c>
      <c r="G5" s="5" t="s">
        <v>175</v>
      </c>
      <c r="H5" s="5" t="s">
        <v>149</v>
      </c>
      <c r="I5" s="5" t="s">
        <v>152</v>
      </c>
      <c r="J5" s="5" t="s">
        <v>163</v>
      </c>
      <c r="K5" s="5" t="s">
        <v>170</v>
      </c>
      <c r="L5" s="5" t="s">
        <v>223</v>
      </c>
    </row>
    <row r="6" ht="24.0" customHeight="1">
      <c r="A6" s="46"/>
      <c r="B6" s="46"/>
      <c r="C6" s="46"/>
      <c r="D6" s="46"/>
      <c r="E6" s="46"/>
      <c r="F6" s="46"/>
      <c r="G6" s="45" t="s">
        <v>359</v>
      </c>
      <c r="H6" s="45" t="s">
        <v>351</v>
      </c>
      <c r="I6" s="45" t="s">
        <v>352</v>
      </c>
      <c r="J6" s="45" t="s">
        <v>352</v>
      </c>
      <c r="K6" s="45" t="s">
        <v>353</v>
      </c>
      <c r="L6" s="45" t="s">
        <v>361</v>
      </c>
    </row>
    <row r="7" ht="25.5" customHeight="1">
      <c r="A7" s="47" t="s">
        <v>363</v>
      </c>
      <c r="B7" s="47" t="s">
        <v>365</v>
      </c>
      <c r="C7" s="47" t="s">
        <v>318</v>
      </c>
      <c r="D7" s="47" t="s">
        <v>318</v>
      </c>
      <c r="E7" s="47" t="s">
        <v>371</v>
      </c>
      <c r="F7" s="47" t="s">
        <v>372</v>
      </c>
      <c r="G7" s="47"/>
      <c r="H7" s="47"/>
      <c r="I7" s="47"/>
      <c r="J7" s="47"/>
      <c r="K7" s="47"/>
      <c r="L7" s="47"/>
    </row>
    <row r="8" ht="25.5" customHeight="1">
      <c r="A8" s="15"/>
      <c r="B8" s="15"/>
      <c r="C8" s="15"/>
      <c r="D8" s="15"/>
      <c r="E8" s="15"/>
      <c r="F8" s="15"/>
      <c r="G8" s="15"/>
      <c r="H8" s="15"/>
      <c r="I8" s="29"/>
      <c r="J8" s="29"/>
      <c r="K8" s="35"/>
      <c r="L8" s="15"/>
    </row>
    <row r="9" ht="25.5" customHeight="1">
      <c r="A9" s="15"/>
      <c r="B9" s="15"/>
      <c r="C9" s="15"/>
      <c r="D9" s="15"/>
      <c r="E9" s="15"/>
      <c r="F9" s="15"/>
      <c r="G9" s="15"/>
      <c r="H9" s="15"/>
      <c r="I9" s="29"/>
      <c r="J9" s="29"/>
      <c r="K9" s="35"/>
      <c r="L9" s="15"/>
    </row>
    <row r="10" ht="25.5" customHeight="1">
      <c r="A10" s="15"/>
      <c r="B10" s="15"/>
      <c r="C10" s="15"/>
      <c r="D10" s="15"/>
      <c r="E10" s="15"/>
      <c r="F10" s="15"/>
      <c r="G10" s="15"/>
      <c r="H10" s="15"/>
      <c r="I10" s="29"/>
      <c r="J10" s="29"/>
      <c r="K10" s="35"/>
      <c r="L10" s="15"/>
    </row>
    <row r="11" ht="25.5" customHeight="1">
      <c r="A11" s="15"/>
      <c r="B11" s="15"/>
      <c r="C11" s="15"/>
      <c r="D11" s="15"/>
      <c r="E11" s="15"/>
      <c r="F11" s="15"/>
      <c r="G11" s="15"/>
      <c r="H11" s="15"/>
      <c r="I11" s="29"/>
      <c r="J11" s="29"/>
      <c r="K11" s="35"/>
      <c r="L11" s="15"/>
    </row>
    <row r="12" ht="25.5" customHeight="1">
      <c r="A12" s="15"/>
      <c r="B12" s="15"/>
      <c r="C12" s="15"/>
      <c r="D12" s="15"/>
      <c r="E12" s="15"/>
      <c r="F12" s="15"/>
      <c r="G12" s="15"/>
      <c r="H12" s="15"/>
      <c r="I12" s="29"/>
      <c r="J12" s="29"/>
      <c r="K12" s="35"/>
      <c r="L12" s="15"/>
    </row>
    <row r="13" ht="25.5" customHeight="1">
      <c r="A13" s="15"/>
      <c r="B13" s="15"/>
      <c r="C13" s="15"/>
      <c r="D13" s="15"/>
      <c r="E13" s="15"/>
      <c r="F13" s="15"/>
      <c r="G13" s="15"/>
      <c r="H13" s="15"/>
      <c r="I13" s="29"/>
      <c r="J13" s="29"/>
      <c r="K13" s="35"/>
      <c r="L13" s="15"/>
    </row>
    <row r="14" ht="25.5" customHeight="1">
      <c r="A14" s="15"/>
      <c r="B14" s="15"/>
      <c r="C14" s="15"/>
      <c r="D14" s="15"/>
      <c r="E14" s="15"/>
      <c r="F14" s="15"/>
      <c r="G14" s="15"/>
      <c r="H14" s="15"/>
      <c r="I14" s="29"/>
      <c r="J14" s="29"/>
      <c r="K14" s="35"/>
      <c r="L14" s="15"/>
    </row>
    <row r="15" ht="25.5" customHeight="1">
      <c r="A15" s="15"/>
      <c r="B15" s="15"/>
      <c r="C15" s="15"/>
      <c r="D15" s="15"/>
      <c r="E15" s="15"/>
      <c r="F15" s="15"/>
      <c r="G15" s="15"/>
      <c r="H15" s="15"/>
      <c r="I15" s="29"/>
      <c r="J15" s="29"/>
      <c r="K15" s="35"/>
      <c r="L15" s="15"/>
    </row>
    <row r="16" ht="25.5" customHeight="1">
      <c r="A16" s="15"/>
      <c r="B16" s="15"/>
      <c r="C16" s="15"/>
      <c r="D16" s="15"/>
      <c r="E16" s="15"/>
      <c r="F16" s="15"/>
      <c r="G16" s="15"/>
      <c r="H16" s="15"/>
      <c r="I16" s="29"/>
      <c r="J16" s="29"/>
      <c r="K16" s="35"/>
      <c r="L16" s="15"/>
    </row>
    <row r="17" ht="25.5" customHeight="1">
      <c r="A17" s="15"/>
      <c r="B17" s="15"/>
      <c r="C17" s="15"/>
      <c r="D17" s="15"/>
      <c r="E17" s="15"/>
      <c r="F17" s="15"/>
      <c r="G17" s="15"/>
      <c r="H17" s="15"/>
      <c r="I17" s="29"/>
      <c r="J17" s="29"/>
      <c r="K17" s="35"/>
      <c r="L17" s="15"/>
    </row>
    <row r="18" ht="25.5" customHeight="1">
      <c r="A18" s="15"/>
      <c r="B18" s="15"/>
      <c r="C18" s="15"/>
      <c r="D18" s="15"/>
      <c r="E18" s="15"/>
      <c r="F18" s="15"/>
      <c r="G18" s="15"/>
      <c r="H18" s="15"/>
      <c r="I18" s="29"/>
      <c r="J18" s="29"/>
      <c r="K18" s="35"/>
      <c r="L18" s="15"/>
    </row>
    <row r="19" ht="25.5" customHeight="1">
      <c r="A19" s="15"/>
      <c r="B19" s="15"/>
      <c r="C19" s="15"/>
      <c r="D19" s="15"/>
      <c r="E19" s="15"/>
      <c r="F19" s="15"/>
      <c r="G19" s="15"/>
      <c r="H19" s="15"/>
      <c r="I19" s="29"/>
      <c r="J19" s="29"/>
      <c r="K19" s="35"/>
      <c r="L19" s="15"/>
    </row>
    <row r="20" ht="25.5" customHeight="1">
      <c r="A20" s="15"/>
      <c r="B20" s="15"/>
      <c r="C20" s="15"/>
      <c r="D20" s="15"/>
      <c r="E20" s="15"/>
      <c r="F20" s="15"/>
      <c r="G20" s="15"/>
      <c r="H20" s="15"/>
      <c r="I20" s="29"/>
      <c r="J20" s="29"/>
      <c r="K20" s="35"/>
      <c r="L20" s="15"/>
    </row>
    <row r="21" ht="25.5" customHeight="1">
      <c r="A21" s="15"/>
      <c r="B21" s="15"/>
      <c r="C21" s="15"/>
      <c r="D21" s="15"/>
      <c r="E21" s="15"/>
      <c r="F21" s="15"/>
      <c r="G21" s="15"/>
      <c r="H21" s="15"/>
      <c r="I21" s="29"/>
      <c r="J21" s="29"/>
      <c r="K21" s="35"/>
      <c r="L21" s="15"/>
    </row>
    <row r="22" ht="25.5" customHeight="1">
      <c r="A22" s="15"/>
      <c r="B22" s="15"/>
      <c r="C22" s="15"/>
      <c r="D22" s="15"/>
      <c r="E22" s="15"/>
      <c r="F22" s="15"/>
      <c r="G22" s="15"/>
      <c r="H22" s="15"/>
      <c r="I22" s="29"/>
      <c r="J22" s="29"/>
      <c r="K22" s="35"/>
      <c r="L22" s="15"/>
    </row>
    <row r="23" ht="25.5" customHeight="1">
      <c r="A23" s="15"/>
      <c r="B23" s="15"/>
      <c r="C23" s="15"/>
      <c r="D23" s="15"/>
      <c r="E23" s="15"/>
      <c r="F23" s="15"/>
      <c r="G23" s="15"/>
      <c r="H23" s="15"/>
      <c r="I23" s="29"/>
      <c r="J23" s="29"/>
      <c r="K23" s="35"/>
      <c r="L23" s="15"/>
    </row>
    <row r="24" ht="25.5" customHeight="1">
      <c r="A24" s="15"/>
      <c r="B24" s="15"/>
      <c r="C24" s="15"/>
      <c r="D24" s="15"/>
      <c r="E24" s="15"/>
      <c r="F24" s="15"/>
      <c r="G24" s="15"/>
      <c r="H24" s="15"/>
      <c r="I24" s="29"/>
      <c r="J24" s="29"/>
      <c r="K24" s="35"/>
      <c r="L24" s="15"/>
    </row>
    <row r="25" ht="25.5" customHeight="1">
      <c r="A25" s="15"/>
      <c r="B25" s="15"/>
      <c r="C25" s="15"/>
      <c r="D25" s="15"/>
      <c r="E25" s="15"/>
      <c r="F25" s="15"/>
      <c r="G25" s="15"/>
      <c r="H25" s="15"/>
      <c r="I25" s="29"/>
      <c r="J25" s="29"/>
      <c r="K25" s="35"/>
      <c r="L25" s="15"/>
    </row>
    <row r="26" ht="25.5" customHeight="1">
      <c r="A26" s="15"/>
      <c r="B26" s="15"/>
      <c r="C26" s="15"/>
      <c r="D26" s="15"/>
      <c r="E26" s="15"/>
      <c r="F26" s="15"/>
      <c r="G26" s="15"/>
      <c r="H26" s="15"/>
      <c r="I26" s="29"/>
      <c r="J26" s="29"/>
      <c r="K26" s="35"/>
      <c r="L26" s="15"/>
    </row>
    <row r="27" ht="25.5" customHeight="1">
      <c r="A27" s="15"/>
      <c r="B27" s="15"/>
      <c r="C27" s="15"/>
      <c r="D27" s="15"/>
      <c r="E27" s="15"/>
      <c r="F27" s="15"/>
      <c r="G27" s="15"/>
      <c r="H27" s="15"/>
      <c r="I27" s="29"/>
      <c r="J27" s="29"/>
      <c r="K27" s="35"/>
      <c r="L27" s="15"/>
    </row>
    <row r="28" ht="25.5" customHeight="1">
      <c r="A28" s="15"/>
      <c r="B28" s="15"/>
      <c r="C28" s="15"/>
      <c r="D28" s="15"/>
      <c r="E28" s="15"/>
      <c r="F28" s="15"/>
      <c r="G28" s="15"/>
      <c r="H28" s="15"/>
      <c r="I28" s="29"/>
      <c r="J28" s="29"/>
      <c r="K28" s="35"/>
      <c r="L28" s="15"/>
    </row>
    <row r="29" ht="25.5" customHeight="1">
      <c r="A29" s="15"/>
      <c r="B29" s="15"/>
      <c r="C29" s="15"/>
      <c r="D29" s="15"/>
      <c r="E29" s="15"/>
      <c r="F29" s="15"/>
      <c r="G29" s="15"/>
      <c r="H29" s="15"/>
      <c r="I29" s="29"/>
      <c r="J29" s="29"/>
      <c r="K29" s="35"/>
      <c r="L29" s="15"/>
    </row>
    <row r="30" ht="25.5" customHeight="1">
      <c r="A30" s="15"/>
      <c r="B30" s="15"/>
      <c r="C30" s="15"/>
      <c r="D30" s="15"/>
      <c r="E30" s="15"/>
      <c r="F30" s="15"/>
      <c r="G30" s="15"/>
      <c r="H30" s="15"/>
      <c r="I30" s="29"/>
      <c r="J30" s="29"/>
      <c r="K30" s="35"/>
      <c r="L30" s="15"/>
    </row>
    <row r="31" ht="25.5" customHeight="1">
      <c r="A31" s="15"/>
      <c r="B31" s="15"/>
      <c r="C31" s="15"/>
      <c r="D31" s="15"/>
      <c r="E31" s="15"/>
      <c r="F31" s="15"/>
      <c r="G31" s="15"/>
      <c r="H31" s="15"/>
      <c r="I31" s="29"/>
      <c r="J31" s="29"/>
      <c r="K31" s="35"/>
      <c r="L31" s="15"/>
    </row>
    <row r="32" ht="25.5" customHeight="1">
      <c r="A32" s="15"/>
      <c r="B32" s="15"/>
      <c r="C32" s="15"/>
      <c r="D32" s="15"/>
      <c r="E32" s="15"/>
      <c r="F32" s="15"/>
      <c r="G32" s="15"/>
      <c r="H32" s="15"/>
      <c r="I32" s="29"/>
      <c r="J32" s="29"/>
      <c r="K32" s="35"/>
      <c r="L32" s="15"/>
    </row>
    <row r="33" ht="25.5" customHeight="1">
      <c r="A33" s="15"/>
      <c r="B33" s="15"/>
      <c r="C33" s="15"/>
      <c r="D33" s="15"/>
      <c r="E33" s="15"/>
      <c r="F33" s="15"/>
      <c r="G33" s="15"/>
      <c r="H33" s="15"/>
      <c r="I33" s="29"/>
      <c r="J33" s="29"/>
      <c r="K33" s="35"/>
      <c r="L33" s="15"/>
    </row>
    <row r="34" ht="25.5" customHeight="1">
      <c r="A34" s="15"/>
      <c r="B34" s="15"/>
      <c r="C34" s="15"/>
      <c r="D34" s="15"/>
      <c r="E34" s="15"/>
      <c r="F34" s="15"/>
      <c r="G34" s="15"/>
      <c r="H34" s="15"/>
      <c r="I34" s="29"/>
      <c r="J34" s="29"/>
      <c r="K34" s="35"/>
      <c r="L34" s="15"/>
    </row>
    <row r="35" ht="25.5" customHeight="1">
      <c r="A35" s="15"/>
      <c r="B35" s="15"/>
      <c r="C35" s="15"/>
      <c r="D35" s="15"/>
      <c r="E35" s="15"/>
      <c r="F35" s="15"/>
      <c r="G35" s="15"/>
      <c r="H35" s="15"/>
      <c r="I35" s="29"/>
      <c r="J35" s="29"/>
      <c r="K35" s="35"/>
      <c r="L35" s="15"/>
    </row>
    <row r="36" ht="25.5" customHeight="1">
      <c r="A36" s="15"/>
      <c r="B36" s="15"/>
      <c r="C36" s="15"/>
      <c r="D36" s="15"/>
      <c r="E36" s="15"/>
      <c r="F36" s="15"/>
      <c r="G36" s="15"/>
      <c r="H36" s="15"/>
      <c r="I36" s="29"/>
      <c r="J36" s="29"/>
      <c r="K36" s="35"/>
      <c r="L36" s="15"/>
    </row>
    <row r="37" ht="25.5" customHeight="1">
      <c r="A37" s="15"/>
      <c r="B37" s="15"/>
      <c r="C37" s="15"/>
      <c r="D37" s="15"/>
      <c r="E37" s="15"/>
      <c r="F37" s="15"/>
      <c r="G37" s="15"/>
      <c r="H37" s="15"/>
      <c r="I37" s="29"/>
      <c r="J37" s="29"/>
      <c r="K37" s="35"/>
      <c r="L37" s="15"/>
    </row>
    <row r="38" ht="25.5" customHeight="1">
      <c r="A38" s="15"/>
      <c r="B38" s="15"/>
      <c r="C38" s="15"/>
      <c r="D38" s="15"/>
      <c r="E38" s="15"/>
      <c r="F38" s="15"/>
      <c r="G38" s="15"/>
      <c r="H38" s="15"/>
      <c r="I38" s="29"/>
      <c r="J38" s="29"/>
      <c r="K38" s="35"/>
      <c r="L38" s="15"/>
    </row>
    <row r="39" ht="25.5" customHeight="1">
      <c r="A39" s="15"/>
      <c r="B39" s="15"/>
      <c r="C39" s="15"/>
      <c r="D39" s="15"/>
      <c r="E39" s="15"/>
      <c r="F39" s="15"/>
      <c r="G39" s="15"/>
      <c r="H39" s="15"/>
      <c r="I39" s="29"/>
      <c r="J39" s="29"/>
      <c r="K39" s="35"/>
      <c r="L39" s="15"/>
    </row>
    <row r="40" ht="25.5" customHeight="1">
      <c r="A40" s="15"/>
      <c r="B40" s="15"/>
      <c r="C40" s="15"/>
      <c r="D40" s="15"/>
      <c r="E40" s="15"/>
      <c r="F40" s="15"/>
      <c r="G40" s="15"/>
      <c r="H40" s="15"/>
      <c r="I40" s="29"/>
      <c r="J40" s="29"/>
      <c r="K40" s="35"/>
      <c r="L40" s="15"/>
    </row>
    <row r="41" ht="25.5" customHeight="1">
      <c r="A41" s="15"/>
      <c r="B41" s="15"/>
      <c r="C41" s="15"/>
      <c r="D41" s="15"/>
      <c r="E41" s="15"/>
      <c r="F41" s="15"/>
      <c r="G41" s="15"/>
      <c r="H41" s="15"/>
      <c r="I41" s="29"/>
      <c r="J41" s="29"/>
      <c r="K41" s="35"/>
      <c r="L41" s="15"/>
    </row>
    <row r="42" ht="25.5" customHeight="1">
      <c r="A42" s="15"/>
      <c r="B42" s="15"/>
      <c r="C42" s="15"/>
      <c r="D42" s="15"/>
      <c r="E42" s="15"/>
      <c r="F42" s="15"/>
      <c r="G42" s="15"/>
      <c r="H42" s="15"/>
      <c r="I42" s="29"/>
      <c r="J42" s="29"/>
      <c r="K42" s="35"/>
      <c r="L42" s="15"/>
    </row>
    <row r="43" ht="25.5" customHeight="1">
      <c r="A43" s="15"/>
      <c r="B43" s="15"/>
      <c r="C43" s="15"/>
      <c r="D43" s="15"/>
      <c r="E43" s="15"/>
      <c r="F43" s="15"/>
      <c r="G43" s="15"/>
      <c r="H43" s="15"/>
      <c r="I43" s="29"/>
      <c r="J43" s="29"/>
      <c r="K43" s="35"/>
      <c r="L43" s="15"/>
    </row>
    <row r="44" ht="25.5" customHeight="1">
      <c r="A44" s="15"/>
      <c r="B44" s="15"/>
      <c r="C44" s="15"/>
      <c r="D44" s="15"/>
      <c r="E44" s="15"/>
      <c r="F44" s="15"/>
      <c r="G44" s="15"/>
      <c r="H44" s="15"/>
      <c r="I44" s="29"/>
      <c r="J44" s="29"/>
      <c r="K44" s="35"/>
      <c r="L44" s="15"/>
    </row>
    <row r="45" ht="25.5" customHeight="1">
      <c r="A45" s="15"/>
      <c r="B45" s="15"/>
      <c r="C45" s="15"/>
      <c r="D45" s="15"/>
      <c r="E45" s="15"/>
      <c r="F45" s="15"/>
      <c r="G45" s="15"/>
      <c r="H45" s="15"/>
      <c r="I45" s="29"/>
      <c r="J45" s="29"/>
      <c r="K45" s="35"/>
      <c r="L45" s="15"/>
    </row>
    <row r="46" ht="25.5" customHeight="1">
      <c r="A46" s="15"/>
      <c r="B46" s="15"/>
      <c r="C46" s="15"/>
      <c r="D46" s="15"/>
      <c r="E46" s="15"/>
      <c r="F46" s="15"/>
      <c r="G46" s="15"/>
      <c r="H46" s="15"/>
      <c r="I46" s="29"/>
      <c r="J46" s="29"/>
      <c r="K46" s="35"/>
      <c r="L46" s="15"/>
    </row>
    <row r="47" ht="25.5" customHeight="1">
      <c r="A47" s="15"/>
      <c r="B47" s="15"/>
      <c r="C47" s="15"/>
      <c r="D47" s="15"/>
      <c r="E47" s="15"/>
      <c r="F47" s="15"/>
      <c r="G47" s="15"/>
      <c r="H47" s="15"/>
      <c r="I47" s="29"/>
      <c r="J47" s="29"/>
      <c r="K47" s="35"/>
      <c r="L47" s="15"/>
    </row>
    <row r="48" ht="25.5" customHeight="1">
      <c r="A48" s="15"/>
      <c r="B48" s="15"/>
      <c r="C48" s="15"/>
      <c r="D48" s="15"/>
      <c r="E48" s="15"/>
      <c r="F48" s="15"/>
      <c r="G48" s="15"/>
      <c r="H48" s="15"/>
      <c r="I48" s="29"/>
      <c r="J48" s="29"/>
      <c r="K48" s="35"/>
      <c r="L48" s="15"/>
    </row>
    <row r="49" ht="25.5" customHeight="1">
      <c r="A49" s="15"/>
      <c r="B49" s="15"/>
      <c r="C49" s="15"/>
      <c r="D49" s="15"/>
      <c r="E49" s="15"/>
      <c r="F49" s="15"/>
      <c r="G49" s="15"/>
      <c r="H49" s="15"/>
      <c r="I49" s="29"/>
      <c r="J49" s="29"/>
      <c r="K49" s="35"/>
      <c r="L49" s="15"/>
    </row>
    <row r="50" ht="25.5" customHeight="1">
      <c r="A50" s="15"/>
      <c r="B50" s="15"/>
      <c r="C50" s="15"/>
      <c r="D50" s="15"/>
      <c r="E50" s="15"/>
      <c r="F50" s="15"/>
      <c r="G50" s="15"/>
      <c r="H50" s="15"/>
      <c r="I50" s="29"/>
      <c r="J50" s="29"/>
      <c r="K50" s="35"/>
      <c r="L50" s="15"/>
    </row>
    <row r="51" ht="25.5" customHeight="1">
      <c r="A51" s="15"/>
      <c r="B51" s="15"/>
      <c r="C51" s="15"/>
      <c r="D51" s="15"/>
      <c r="E51" s="15"/>
      <c r="F51" s="15"/>
      <c r="G51" s="15"/>
      <c r="H51" s="15"/>
      <c r="I51" s="29"/>
      <c r="J51" s="29"/>
      <c r="K51" s="35"/>
      <c r="L51" s="15"/>
    </row>
    <row r="52" ht="25.5" customHeight="1">
      <c r="A52" s="15"/>
      <c r="B52" s="15"/>
      <c r="C52" s="15"/>
      <c r="D52" s="15"/>
      <c r="E52" s="15"/>
      <c r="F52" s="15"/>
      <c r="G52" s="15"/>
      <c r="H52" s="15"/>
      <c r="I52" s="29"/>
      <c r="J52" s="29"/>
      <c r="K52" s="35"/>
      <c r="L52" s="15"/>
    </row>
    <row r="53" ht="25.5" customHeight="1">
      <c r="A53" s="15"/>
      <c r="B53" s="15"/>
      <c r="C53" s="15"/>
      <c r="D53" s="15"/>
      <c r="E53" s="15"/>
      <c r="F53" s="15"/>
      <c r="G53" s="15"/>
      <c r="H53" s="15"/>
      <c r="I53" s="29"/>
      <c r="J53" s="29"/>
      <c r="K53" s="35"/>
      <c r="L53" s="15"/>
    </row>
    <row r="54" ht="25.5" customHeight="1">
      <c r="A54" s="15"/>
      <c r="B54" s="15"/>
      <c r="C54" s="15"/>
      <c r="D54" s="15"/>
      <c r="E54" s="15"/>
      <c r="F54" s="15"/>
      <c r="G54" s="15"/>
      <c r="H54" s="15"/>
      <c r="I54" s="29"/>
      <c r="J54" s="29"/>
      <c r="K54" s="35"/>
      <c r="L54" s="15"/>
    </row>
    <row r="55" ht="25.5" customHeight="1">
      <c r="A55" s="15"/>
      <c r="B55" s="15"/>
      <c r="C55" s="15"/>
      <c r="D55" s="15"/>
      <c r="E55" s="15"/>
      <c r="F55" s="15"/>
      <c r="G55" s="15"/>
      <c r="H55" s="15"/>
      <c r="I55" s="29"/>
      <c r="J55" s="29"/>
      <c r="K55" s="35"/>
      <c r="L55" s="15"/>
    </row>
    <row r="56" ht="25.5" customHeight="1">
      <c r="A56" s="15"/>
      <c r="B56" s="15"/>
      <c r="C56" s="15"/>
      <c r="D56" s="15"/>
      <c r="E56" s="15"/>
      <c r="F56" s="15"/>
      <c r="G56" s="15"/>
      <c r="H56" s="15"/>
      <c r="I56" s="29"/>
      <c r="J56" s="29"/>
      <c r="K56" s="35"/>
      <c r="L56" s="15"/>
    </row>
    <row r="57" ht="15.75" customHeight="1">
      <c r="A57" s="15"/>
      <c r="B57" s="15"/>
      <c r="C57" s="15"/>
      <c r="D57" s="15"/>
      <c r="E57" s="15"/>
      <c r="F57" s="15"/>
      <c r="G57" s="15"/>
      <c r="H57" s="15"/>
      <c r="I57" s="29"/>
      <c r="J57" s="29"/>
      <c r="K57" s="35"/>
      <c r="L57" s="15"/>
    </row>
    <row r="58" ht="15.75" customHeight="1"/>
    <row r="59" ht="15.75" customHeight="1">
      <c r="A59" s="50"/>
    </row>
    <row r="60" ht="27.75" customHeight="1">
      <c r="A60" s="51" t="s">
        <v>322</v>
      </c>
    </row>
    <row r="61" ht="27.75" customHeight="1">
      <c r="A61" s="53" t="s">
        <v>422</v>
      </c>
    </row>
    <row r="62" ht="15.75" customHeight="1">
      <c r="A62" s="53" t="s">
        <v>423</v>
      </c>
    </row>
    <row r="63" ht="27.75" customHeight="1">
      <c r="A63" s="52" t="s">
        <v>424</v>
      </c>
    </row>
    <row r="64" ht="27.75" customHeight="1">
      <c r="A64" s="52" t="s">
        <v>425</v>
      </c>
    </row>
    <row r="65" ht="27.75" customHeight="1">
      <c r="A65" s="52" t="s">
        <v>426</v>
      </c>
    </row>
    <row r="66" ht="27.75" customHeight="1">
      <c r="A66" s="52" t="s">
        <v>427</v>
      </c>
    </row>
    <row r="67" ht="15.75" customHeight="1">
      <c r="A67" s="52" t="s">
        <v>428</v>
      </c>
    </row>
    <row r="68" ht="15.75" customHeight="1">
      <c r="A68" s="52" t="s">
        <v>417</v>
      </c>
    </row>
    <row r="69" ht="15.75" customHeight="1">
      <c r="A69" s="52" t="s">
        <v>418</v>
      </c>
    </row>
    <row r="70" ht="15.75" customHeight="1">
      <c r="A70" s="52" t="s">
        <v>419</v>
      </c>
    </row>
    <row r="71" ht="15.75" customHeight="1">
      <c r="A71" s="52" t="s">
        <v>420</v>
      </c>
    </row>
    <row r="72" ht="15.75" customHeight="1">
      <c r="A72" s="52" t="s">
        <v>429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64:L64"/>
    <mergeCell ref="A65:L65"/>
    <mergeCell ref="A66:L66"/>
    <mergeCell ref="A67:L67"/>
    <mergeCell ref="A68:L68"/>
    <mergeCell ref="A69:L69"/>
    <mergeCell ref="A70:L70"/>
    <mergeCell ref="A71:L71"/>
    <mergeCell ref="A1:L1"/>
    <mergeCell ref="A2:L2"/>
    <mergeCell ref="A59:L59"/>
    <mergeCell ref="A60:L60"/>
    <mergeCell ref="A61:L61"/>
    <mergeCell ref="A62:L62"/>
    <mergeCell ref="A63:L63"/>
  </mergeCells>
  <dataValidations>
    <dataValidation type="list" allowBlank="1" sqref="D7:D56">
      <formula1>"Attendee,Attendee - pre-approved,Exhibitor,Internal"</formula1>
    </dataValidation>
    <dataValidation type="list" allowBlank="1" sqref="H7:H56 L7:L56">
      <formula1>"Yes,No"</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9" width="26.0"/>
    <col customWidth="1" min="10" max="26" width="8.71"/>
  </cols>
  <sheetData>
    <row r="1" ht="27.75" customHeight="1">
      <c r="A1" s="1" t="s">
        <v>328</v>
      </c>
      <c r="B1" s="2"/>
      <c r="C1" s="2"/>
      <c r="D1" s="2"/>
      <c r="E1" s="2"/>
      <c r="F1" s="2"/>
      <c r="G1" s="2"/>
      <c r="H1" s="2"/>
      <c r="I1" s="3"/>
    </row>
    <row r="2" ht="19.5" customHeight="1">
      <c r="A2" s="4" t="s">
        <v>330</v>
      </c>
    </row>
    <row r="4" ht="25.5" customHeight="1">
      <c r="A4" s="44" t="s">
        <v>334</v>
      </c>
      <c r="B4" s="44" t="s">
        <v>335</v>
      </c>
      <c r="C4" s="44" t="s">
        <v>336</v>
      </c>
      <c r="D4" s="44" t="s">
        <v>338</v>
      </c>
      <c r="E4" s="44" t="s">
        <v>340</v>
      </c>
      <c r="F4" s="44" t="s">
        <v>342</v>
      </c>
      <c r="G4" s="44" t="s">
        <v>342</v>
      </c>
      <c r="H4" s="44" t="s">
        <v>343</v>
      </c>
      <c r="I4" s="44" t="s">
        <v>344</v>
      </c>
    </row>
    <row r="5" ht="33.75" customHeight="1">
      <c r="A5" s="5" t="s">
        <v>257</v>
      </c>
      <c r="B5" s="5" t="s">
        <v>263</v>
      </c>
      <c r="C5" s="5" t="s">
        <v>345</v>
      </c>
      <c r="D5" s="5" t="s">
        <v>347</v>
      </c>
      <c r="E5" s="5" t="s">
        <v>149</v>
      </c>
      <c r="F5" s="5" t="s">
        <v>152</v>
      </c>
      <c r="G5" s="5" t="s">
        <v>163</v>
      </c>
      <c r="H5" s="5" t="s">
        <v>170</v>
      </c>
      <c r="I5" s="5" t="s">
        <v>253</v>
      </c>
    </row>
    <row r="6" ht="24.0" customHeight="1">
      <c r="A6" s="46"/>
      <c r="B6" s="46"/>
      <c r="C6" s="46"/>
      <c r="D6" s="46"/>
      <c r="E6" s="45" t="s">
        <v>351</v>
      </c>
      <c r="F6" s="45" t="s">
        <v>352</v>
      </c>
      <c r="G6" s="45" t="s">
        <v>352</v>
      </c>
      <c r="H6" s="45" t="s">
        <v>353</v>
      </c>
      <c r="I6" s="45" t="s">
        <v>351</v>
      </c>
    </row>
    <row r="7" ht="25.5" customHeight="1">
      <c r="A7" s="47" t="s">
        <v>354</v>
      </c>
      <c r="B7" s="47" t="s">
        <v>355</v>
      </c>
      <c r="C7" s="47" t="s">
        <v>356</v>
      </c>
      <c r="D7" s="47" t="s">
        <v>358</v>
      </c>
      <c r="E7" s="47" t="s">
        <v>150</v>
      </c>
      <c r="F7" s="47"/>
      <c r="G7" s="47"/>
      <c r="H7" s="47"/>
      <c r="I7" s="47"/>
    </row>
    <row r="8" ht="25.5" customHeight="1">
      <c r="A8" s="15"/>
      <c r="B8" s="15"/>
      <c r="C8" s="15"/>
      <c r="D8" s="15"/>
      <c r="E8" s="15"/>
      <c r="F8" s="29"/>
      <c r="G8" s="29"/>
      <c r="H8" s="35"/>
      <c r="I8" s="15"/>
    </row>
    <row r="9" ht="25.5" customHeight="1">
      <c r="A9" s="15"/>
      <c r="B9" s="15"/>
      <c r="C9" s="15"/>
      <c r="D9" s="15"/>
      <c r="E9" s="15"/>
      <c r="F9" s="29"/>
      <c r="G9" s="29"/>
      <c r="H9" s="35"/>
      <c r="I9" s="15"/>
    </row>
    <row r="10" ht="25.5" customHeight="1">
      <c r="A10" s="15"/>
      <c r="B10" s="15"/>
      <c r="C10" s="15"/>
      <c r="D10" s="15"/>
      <c r="E10" s="15"/>
      <c r="F10" s="29"/>
      <c r="G10" s="29"/>
      <c r="H10" s="35"/>
      <c r="I10" s="15"/>
    </row>
    <row r="11" ht="25.5" customHeight="1">
      <c r="A11" s="15"/>
      <c r="B11" s="15"/>
      <c r="C11" s="15"/>
      <c r="D11" s="15"/>
      <c r="E11" s="15"/>
      <c r="F11" s="29"/>
      <c r="G11" s="29"/>
      <c r="H11" s="35"/>
      <c r="I11" s="15"/>
    </row>
    <row r="12" ht="25.5" customHeight="1">
      <c r="A12" s="15"/>
      <c r="B12" s="15"/>
      <c r="C12" s="15"/>
      <c r="D12" s="15"/>
      <c r="E12" s="15"/>
      <c r="F12" s="29"/>
      <c r="G12" s="29"/>
      <c r="H12" s="35"/>
      <c r="I12" s="15"/>
    </row>
    <row r="13" ht="25.5" customHeight="1">
      <c r="A13" s="15"/>
      <c r="B13" s="15"/>
      <c r="C13" s="15"/>
      <c r="D13" s="15"/>
      <c r="E13" s="15"/>
      <c r="F13" s="29"/>
      <c r="G13" s="29"/>
      <c r="H13" s="35"/>
      <c r="I13" s="15"/>
    </row>
    <row r="14" ht="25.5" customHeight="1">
      <c r="A14" s="15"/>
      <c r="B14" s="15"/>
      <c r="C14" s="15"/>
      <c r="D14" s="15"/>
      <c r="E14" s="15"/>
      <c r="F14" s="29"/>
      <c r="G14" s="29"/>
      <c r="H14" s="35"/>
      <c r="I14" s="15"/>
    </row>
    <row r="15" ht="25.5" customHeight="1">
      <c r="A15" s="15"/>
      <c r="B15" s="15"/>
      <c r="C15" s="15"/>
      <c r="D15" s="15"/>
      <c r="E15" s="15"/>
      <c r="F15" s="29"/>
      <c r="G15" s="29"/>
      <c r="H15" s="35"/>
      <c r="I15" s="15"/>
    </row>
    <row r="16" ht="25.5" customHeight="1">
      <c r="A16" s="15"/>
      <c r="B16" s="15"/>
      <c r="C16" s="15"/>
      <c r="D16" s="15"/>
      <c r="E16" s="15"/>
      <c r="F16" s="29"/>
      <c r="G16" s="29"/>
      <c r="H16" s="35"/>
      <c r="I16" s="15"/>
    </row>
    <row r="17" ht="25.5" customHeight="1">
      <c r="A17" s="15"/>
      <c r="B17" s="15"/>
      <c r="C17" s="15"/>
      <c r="D17" s="15"/>
      <c r="E17" s="15"/>
      <c r="F17" s="29"/>
      <c r="G17" s="29"/>
      <c r="H17" s="35"/>
      <c r="I17" s="15"/>
    </row>
    <row r="18" ht="25.5" customHeight="1">
      <c r="A18" s="15"/>
      <c r="B18" s="15"/>
      <c r="C18" s="15"/>
      <c r="D18" s="15"/>
      <c r="E18" s="15"/>
      <c r="F18" s="29"/>
      <c r="G18" s="29"/>
      <c r="H18" s="35"/>
      <c r="I18" s="15"/>
    </row>
    <row r="19" ht="25.5" customHeight="1">
      <c r="A19" s="15"/>
      <c r="B19" s="15"/>
      <c r="C19" s="15"/>
      <c r="D19" s="15"/>
      <c r="E19" s="15"/>
      <c r="F19" s="29"/>
      <c r="G19" s="29"/>
      <c r="H19" s="35"/>
      <c r="I19" s="15"/>
    </row>
    <row r="20" ht="25.5" customHeight="1">
      <c r="A20" s="15"/>
      <c r="B20" s="15"/>
      <c r="C20" s="15"/>
      <c r="D20" s="15"/>
      <c r="E20" s="15"/>
      <c r="F20" s="29"/>
      <c r="G20" s="29"/>
      <c r="H20" s="35"/>
      <c r="I20" s="15"/>
    </row>
    <row r="21" ht="25.5" customHeight="1">
      <c r="A21" s="15"/>
      <c r="B21" s="15"/>
      <c r="C21" s="15"/>
      <c r="D21" s="15"/>
      <c r="E21" s="15"/>
      <c r="F21" s="29"/>
      <c r="G21" s="29"/>
      <c r="H21" s="35"/>
      <c r="I21" s="15"/>
    </row>
    <row r="22" ht="25.5" customHeight="1">
      <c r="A22" s="15"/>
      <c r="B22" s="15"/>
      <c r="C22" s="15"/>
      <c r="D22" s="15"/>
      <c r="E22" s="15"/>
      <c r="F22" s="29"/>
      <c r="G22" s="29"/>
      <c r="H22" s="35"/>
      <c r="I22" s="15"/>
    </row>
    <row r="23" ht="25.5" customHeight="1">
      <c r="A23" s="15"/>
      <c r="B23" s="15"/>
      <c r="C23" s="15"/>
      <c r="D23" s="15"/>
      <c r="E23" s="15"/>
      <c r="F23" s="29"/>
      <c r="G23" s="29"/>
      <c r="H23" s="35"/>
      <c r="I23" s="15"/>
    </row>
    <row r="24" ht="25.5" customHeight="1">
      <c r="A24" s="15"/>
      <c r="B24" s="15"/>
      <c r="C24" s="15"/>
      <c r="D24" s="15"/>
      <c r="E24" s="15"/>
      <c r="F24" s="29"/>
      <c r="G24" s="29"/>
      <c r="H24" s="35"/>
      <c r="I24" s="15"/>
    </row>
    <row r="25" ht="25.5" customHeight="1">
      <c r="A25" s="15"/>
      <c r="B25" s="15"/>
      <c r="C25" s="15"/>
      <c r="D25" s="15"/>
      <c r="E25" s="15"/>
      <c r="F25" s="29"/>
      <c r="G25" s="29"/>
      <c r="H25" s="35"/>
      <c r="I25" s="15"/>
    </row>
    <row r="26" ht="25.5" customHeight="1">
      <c r="A26" s="15"/>
      <c r="B26" s="15"/>
      <c r="C26" s="15"/>
      <c r="D26" s="15"/>
      <c r="E26" s="15"/>
      <c r="F26" s="29"/>
      <c r="G26" s="29"/>
      <c r="H26" s="35"/>
      <c r="I26" s="15"/>
    </row>
    <row r="27" ht="25.5" customHeight="1">
      <c r="A27" s="15"/>
      <c r="B27" s="15"/>
      <c r="C27" s="15"/>
      <c r="D27" s="15"/>
      <c r="E27" s="15"/>
      <c r="F27" s="29"/>
      <c r="G27" s="29"/>
      <c r="H27" s="35"/>
      <c r="I27" s="15"/>
    </row>
    <row r="28" ht="25.5" customHeight="1">
      <c r="A28" s="15"/>
      <c r="B28" s="15"/>
      <c r="C28" s="15"/>
      <c r="D28" s="15"/>
      <c r="E28" s="15"/>
      <c r="F28" s="29"/>
      <c r="G28" s="29"/>
      <c r="H28" s="35"/>
      <c r="I28" s="15"/>
    </row>
    <row r="29" ht="25.5" customHeight="1">
      <c r="A29" s="15"/>
      <c r="B29" s="15"/>
      <c r="C29" s="15"/>
      <c r="D29" s="15"/>
      <c r="E29" s="15"/>
      <c r="F29" s="29"/>
      <c r="G29" s="29"/>
      <c r="H29" s="35"/>
      <c r="I29" s="15"/>
    </row>
    <row r="30" ht="25.5" customHeight="1">
      <c r="A30" s="15"/>
      <c r="B30" s="15"/>
      <c r="C30" s="15"/>
      <c r="D30" s="15"/>
      <c r="E30" s="15"/>
      <c r="F30" s="29"/>
      <c r="G30" s="29"/>
      <c r="H30" s="35"/>
      <c r="I30" s="15"/>
    </row>
    <row r="31" ht="25.5" customHeight="1">
      <c r="A31" s="15"/>
      <c r="B31" s="15"/>
      <c r="C31" s="15"/>
      <c r="D31" s="15"/>
      <c r="E31" s="15"/>
      <c r="F31" s="29"/>
      <c r="G31" s="29"/>
      <c r="H31" s="35"/>
      <c r="I31" s="15"/>
    </row>
    <row r="32" ht="25.5" customHeight="1">
      <c r="A32" s="15"/>
      <c r="B32" s="15"/>
      <c r="C32" s="15"/>
      <c r="D32" s="15"/>
      <c r="E32" s="15"/>
      <c r="F32" s="29"/>
      <c r="G32" s="29"/>
      <c r="H32" s="35"/>
      <c r="I32" s="15"/>
    </row>
    <row r="33" ht="25.5" customHeight="1">
      <c r="A33" s="15"/>
      <c r="B33" s="15"/>
      <c r="C33" s="15"/>
      <c r="D33" s="15"/>
      <c r="E33" s="15"/>
      <c r="F33" s="29"/>
      <c r="G33" s="29"/>
      <c r="H33" s="35"/>
      <c r="I33" s="15"/>
    </row>
    <row r="34" ht="25.5" customHeight="1">
      <c r="A34" s="15"/>
      <c r="B34" s="15"/>
      <c r="C34" s="15"/>
      <c r="D34" s="15"/>
      <c r="E34" s="15"/>
      <c r="F34" s="29"/>
      <c r="G34" s="29"/>
      <c r="H34" s="35"/>
      <c r="I34" s="15"/>
    </row>
    <row r="35" ht="25.5" customHeight="1">
      <c r="A35" s="15"/>
      <c r="B35" s="15"/>
      <c r="C35" s="15"/>
      <c r="D35" s="15"/>
      <c r="E35" s="15"/>
      <c r="F35" s="29"/>
      <c r="G35" s="29"/>
      <c r="H35" s="35"/>
      <c r="I35" s="15"/>
    </row>
    <row r="36" ht="25.5" customHeight="1">
      <c r="A36" s="15"/>
      <c r="B36" s="15"/>
      <c r="C36" s="15"/>
      <c r="D36" s="15"/>
      <c r="E36" s="15"/>
      <c r="F36" s="29"/>
      <c r="G36" s="29"/>
      <c r="H36" s="35"/>
      <c r="I36" s="15"/>
    </row>
    <row r="37" ht="25.5" customHeight="1">
      <c r="A37" s="15"/>
      <c r="B37" s="15"/>
      <c r="C37" s="15"/>
      <c r="D37" s="15"/>
      <c r="E37" s="15"/>
      <c r="F37" s="29"/>
      <c r="G37" s="29"/>
      <c r="H37" s="35"/>
      <c r="I37" s="15"/>
    </row>
    <row r="38" ht="25.5" customHeight="1">
      <c r="A38" s="15"/>
      <c r="B38" s="15"/>
      <c r="C38" s="15"/>
      <c r="D38" s="15"/>
      <c r="E38" s="15"/>
      <c r="F38" s="29"/>
      <c r="G38" s="29"/>
      <c r="H38" s="35"/>
      <c r="I38" s="15"/>
    </row>
    <row r="39" ht="25.5" customHeight="1">
      <c r="A39" s="15"/>
      <c r="B39" s="15"/>
      <c r="C39" s="15"/>
      <c r="D39" s="15"/>
      <c r="E39" s="15"/>
      <c r="F39" s="29"/>
      <c r="G39" s="29"/>
      <c r="H39" s="35"/>
      <c r="I39" s="15"/>
    </row>
    <row r="40" ht="25.5" customHeight="1">
      <c r="A40" s="15"/>
      <c r="B40" s="15"/>
      <c r="C40" s="15"/>
      <c r="D40" s="15"/>
      <c r="E40" s="15"/>
      <c r="F40" s="29"/>
      <c r="G40" s="29"/>
      <c r="H40" s="35"/>
      <c r="I40" s="15"/>
    </row>
    <row r="41" ht="25.5" customHeight="1">
      <c r="A41" s="15"/>
      <c r="B41" s="15"/>
      <c r="C41" s="15"/>
      <c r="D41" s="15"/>
      <c r="E41" s="15"/>
      <c r="F41" s="29"/>
      <c r="G41" s="29"/>
      <c r="H41" s="35"/>
      <c r="I41" s="15"/>
    </row>
    <row r="42" ht="25.5" customHeight="1">
      <c r="A42" s="15"/>
      <c r="B42" s="15"/>
      <c r="C42" s="15"/>
      <c r="D42" s="15"/>
      <c r="E42" s="15"/>
      <c r="F42" s="29"/>
      <c r="G42" s="29"/>
      <c r="H42" s="35"/>
      <c r="I42" s="15"/>
    </row>
    <row r="43" ht="25.5" customHeight="1">
      <c r="A43" s="15"/>
      <c r="B43" s="15"/>
      <c r="C43" s="15"/>
      <c r="D43" s="15"/>
      <c r="E43" s="15"/>
      <c r="F43" s="29"/>
      <c r="G43" s="29"/>
      <c r="H43" s="35"/>
      <c r="I43" s="15"/>
    </row>
    <row r="44" ht="25.5" customHeight="1">
      <c r="A44" s="15"/>
      <c r="B44" s="15"/>
      <c r="C44" s="15"/>
      <c r="D44" s="15"/>
      <c r="E44" s="15"/>
      <c r="F44" s="29"/>
      <c r="G44" s="29"/>
      <c r="H44" s="35"/>
      <c r="I44" s="15"/>
    </row>
    <row r="45" ht="25.5" customHeight="1">
      <c r="A45" s="15"/>
      <c r="B45" s="15"/>
      <c r="C45" s="15"/>
      <c r="D45" s="15"/>
      <c r="E45" s="15"/>
      <c r="F45" s="29"/>
      <c r="G45" s="29"/>
      <c r="H45" s="35"/>
      <c r="I45" s="15"/>
    </row>
    <row r="46" ht="25.5" customHeight="1">
      <c r="A46" s="15"/>
      <c r="B46" s="15"/>
      <c r="C46" s="15"/>
      <c r="D46" s="15"/>
      <c r="E46" s="15"/>
      <c r="F46" s="29"/>
      <c r="G46" s="29"/>
      <c r="H46" s="35"/>
      <c r="I46" s="15"/>
    </row>
    <row r="47" ht="25.5" customHeight="1">
      <c r="A47" s="15"/>
      <c r="B47" s="15"/>
      <c r="C47" s="15"/>
      <c r="D47" s="15"/>
      <c r="E47" s="15"/>
      <c r="F47" s="29"/>
      <c r="G47" s="29"/>
      <c r="H47" s="35"/>
      <c r="I47" s="15"/>
    </row>
    <row r="48" ht="25.5" customHeight="1">
      <c r="A48" s="15"/>
      <c r="B48" s="15"/>
      <c r="C48" s="15"/>
      <c r="D48" s="15"/>
      <c r="E48" s="15"/>
      <c r="F48" s="29"/>
      <c r="G48" s="29"/>
      <c r="H48" s="35"/>
      <c r="I48" s="15"/>
    </row>
    <row r="49" ht="25.5" customHeight="1">
      <c r="A49" s="15"/>
      <c r="B49" s="15"/>
      <c r="C49" s="15"/>
      <c r="D49" s="15"/>
      <c r="E49" s="15"/>
      <c r="F49" s="29"/>
      <c r="G49" s="29"/>
      <c r="H49" s="35"/>
      <c r="I49" s="15"/>
    </row>
    <row r="50" ht="25.5" customHeight="1">
      <c r="A50" s="15"/>
      <c r="B50" s="15"/>
      <c r="C50" s="15"/>
      <c r="D50" s="15"/>
      <c r="E50" s="15"/>
      <c r="F50" s="29"/>
      <c r="G50" s="29"/>
      <c r="H50" s="35"/>
      <c r="I50" s="15"/>
    </row>
    <row r="51" ht="25.5" customHeight="1">
      <c r="A51" s="15"/>
      <c r="B51" s="15"/>
      <c r="C51" s="15"/>
      <c r="D51" s="15"/>
      <c r="E51" s="15"/>
      <c r="F51" s="29"/>
      <c r="G51" s="29"/>
      <c r="H51" s="35"/>
      <c r="I51" s="15"/>
    </row>
    <row r="52" ht="25.5" customHeight="1">
      <c r="A52" s="15"/>
      <c r="B52" s="15"/>
      <c r="C52" s="15"/>
      <c r="D52" s="15"/>
      <c r="E52" s="15"/>
      <c r="F52" s="29"/>
      <c r="G52" s="29"/>
      <c r="H52" s="35"/>
      <c r="I52" s="15"/>
    </row>
    <row r="53" ht="25.5" customHeight="1">
      <c r="A53" s="15"/>
      <c r="B53" s="15"/>
      <c r="C53" s="15"/>
      <c r="D53" s="15"/>
      <c r="E53" s="15"/>
      <c r="F53" s="29"/>
      <c r="G53" s="29"/>
      <c r="H53" s="35"/>
      <c r="I53" s="15"/>
    </row>
    <row r="54" ht="25.5" customHeight="1">
      <c r="A54" s="15"/>
      <c r="B54" s="15"/>
      <c r="C54" s="15"/>
      <c r="D54" s="15"/>
      <c r="E54" s="15"/>
      <c r="F54" s="29"/>
      <c r="G54" s="29"/>
      <c r="H54" s="35"/>
      <c r="I54" s="15"/>
    </row>
    <row r="55" ht="25.5" customHeight="1">
      <c r="A55" s="15"/>
      <c r="B55" s="15"/>
      <c r="C55" s="15"/>
      <c r="D55" s="15"/>
      <c r="E55" s="15"/>
      <c r="F55" s="29"/>
      <c r="G55" s="29"/>
      <c r="H55" s="35"/>
      <c r="I55" s="15"/>
    </row>
    <row r="56" ht="25.5" customHeight="1">
      <c r="A56" s="15"/>
      <c r="B56" s="15"/>
      <c r="C56" s="15"/>
      <c r="D56" s="15"/>
      <c r="E56" s="15"/>
      <c r="F56" s="29"/>
      <c r="G56" s="29"/>
      <c r="H56" s="35"/>
      <c r="I56" s="15"/>
    </row>
    <row r="57" ht="15.75" customHeight="1">
      <c r="A57" s="15"/>
      <c r="B57" s="15"/>
      <c r="C57" s="15"/>
      <c r="D57" s="15"/>
      <c r="E57" s="15"/>
      <c r="F57" s="29"/>
      <c r="G57" s="29"/>
      <c r="H57" s="35"/>
      <c r="I57" s="15"/>
    </row>
    <row r="58" ht="15.75" customHeight="1"/>
    <row r="59" ht="15.75" customHeight="1">
      <c r="A59" s="50"/>
    </row>
    <row r="60" ht="27.75" customHeight="1">
      <c r="A60" s="51" t="s">
        <v>322</v>
      </c>
    </row>
    <row r="61" ht="27.75" customHeight="1">
      <c r="A61" s="52" t="s">
        <v>413</v>
      </c>
    </row>
    <row r="62" ht="15.75" customHeight="1">
      <c r="A62" s="52" t="s">
        <v>414</v>
      </c>
    </row>
    <row r="63" ht="15.75" customHeight="1">
      <c r="A63" s="53" t="s">
        <v>415</v>
      </c>
    </row>
    <row r="64" ht="15.75" customHeight="1">
      <c r="A64" s="53" t="s">
        <v>416</v>
      </c>
    </row>
    <row r="65" ht="15.75" customHeight="1">
      <c r="A65" s="52" t="s">
        <v>417</v>
      </c>
    </row>
    <row r="66" ht="15.75" customHeight="1">
      <c r="A66" s="52" t="s">
        <v>418</v>
      </c>
    </row>
    <row r="67" ht="15.75" customHeight="1">
      <c r="A67" s="52" t="s">
        <v>419</v>
      </c>
    </row>
    <row r="68" ht="15.75" customHeight="1">
      <c r="A68" s="52" t="s">
        <v>420</v>
      </c>
    </row>
    <row r="69" ht="15.75" customHeight="1">
      <c r="A69" s="52" t="s">
        <v>421</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4:I64"/>
    <mergeCell ref="A65:I65"/>
    <mergeCell ref="A66:I66"/>
    <mergeCell ref="A67:I67"/>
    <mergeCell ref="A68:I68"/>
    <mergeCell ref="A1:I1"/>
    <mergeCell ref="A2:I2"/>
    <mergeCell ref="A59:I59"/>
    <mergeCell ref="A60:I60"/>
    <mergeCell ref="A61:I61"/>
    <mergeCell ref="A62:I62"/>
    <mergeCell ref="A63:I63"/>
  </mergeCells>
  <dataValidations>
    <dataValidation type="list" allowBlank="1" sqref="E7:E56 I7:I56">
      <formula1>"Yes,No"</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0.0"/>
    <col customWidth="1" min="2" max="2" width="34.0"/>
    <col customWidth="1" min="3" max="4" width="16.0"/>
    <col customWidth="1" min="5" max="5" width="18.0"/>
    <col customWidth="1" min="6" max="6" width="20.0"/>
    <col customWidth="1" min="7" max="7" width="44.0"/>
    <col customWidth="1" min="8" max="26" width="8.71"/>
  </cols>
  <sheetData>
    <row r="1" ht="27.75" customHeight="1">
      <c r="A1" s="1" t="s">
        <v>350</v>
      </c>
      <c r="B1" s="2"/>
      <c r="C1" s="2"/>
      <c r="D1" s="2"/>
      <c r="E1" s="2"/>
      <c r="F1" s="2"/>
      <c r="G1" s="3"/>
    </row>
    <row r="2" ht="19.5" customHeight="1">
      <c r="A2" s="4" t="s">
        <v>357</v>
      </c>
    </row>
    <row r="4">
      <c r="A4" s="54" t="s">
        <v>360</v>
      </c>
    </row>
    <row r="5" ht="30.0" customHeight="1">
      <c r="A5" s="5" t="s">
        <v>362</v>
      </c>
      <c r="B5" s="5" t="s">
        <v>7</v>
      </c>
      <c r="C5" s="5" t="s">
        <v>364</v>
      </c>
      <c r="D5" s="5" t="s">
        <v>366</v>
      </c>
      <c r="E5" s="5" t="s">
        <v>367</v>
      </c>
      <c r="F5" s="5" t="s">
        <v>368</v>
      </c>
      <c r="G5" s="5" t="s">
        <v>9</v>
      </c>
    </row>
    <row r="6" ht="25.5" customHeight="1">
      <c r="A6" s="9" t="s">
        <v>369</v>
      </c>
      <c r="B6" s="33" t="s">
        <v>370</v>
      </c>
      <c r="C6" s="55"/>
      <c r="D6" s="55"/>
      <c r="E6" s="56"/>
      <c r="F6" s="56"/>
      <c r="G6" s="19"/>
    </row>
    <row r="7" ht="25.5" customHeight="1">
      <c r="A7" s="9" t="s">
        <v>373</v>
      </c>
      <c r="B7" s="33" t="s">
        <v>374</v>
      </c>
      <c r="C7" s="55"/>
      <c r="D7" s="55"/>
      <c r="E7" s="56"/>
      <c r="F7" s="56"/>
      <c r="G7" s="19"/>
    </row>
    <row r="8" ht="25.5" customHeight="1">
      <c r="A8" s="9" t="s">
        <v>375</v>
      </c>
      <c r="B8" s="33" t="s">
        <v>376</v>
      </c>
      <c r="C8" s="55"/>
      <c r="D8" s="55"/>
      <c r="E8" s="56"/>
      <c r="F8" s="56"/>
      <c r="G8" s="19"/>
    </row>
    <row r="9" ht="25.5" customHeight="1">
      <c r="A9" s="9" t="s">
        <v>377</v>
      </c>
      <c r="B9" s="33" t="s">
        <v>378</v>
      </c>
      <c r="C9" s="55"/>
      <c r="D9" s="55"/>
      <c r="E9" s="56"/>
      <c r="F9" s="56"/>
      <c r="G9" s="19" t="s">
        <v>379</v>
      </c>
    </row>
    <row r="11">
      <c r="A11" s="51" t="s">
        <v>380</v>
      </c>
      <c r="B11" s="57" t="str">
        <f>IF(COUNT(C6:D9)&lt;8,"Fill in all tier dates",IF(AND(C7=D6+1,C8=D7+1,C9=D8+1),"OK - tiers are continuous","WARNING - gap or overlap between tiers"))</f>
        <v>Fill in all tier dates</v>
      </c>
    </row>
    <row r="13">
      <c r="A13" s="9" t="s">
        <v>272</v>
      </c>
      <c r="C13" s="58" t="s">
        <v>273</v>
      </c>
      <c r="G13" s="59" t="s">
        <v>382</v>
      </c>
    </row>
    <row r="14">
      <c r="A14" s="9" t="s">
        <v>287</v>
      </c>
      <c r="C14" s="58" t="s">
        <v>150</v>
      </c>
      <c r="G14" s="59" t="s">
        <v>382</v>
      </c>
    </row>
    <row r="15" ht="39.75" customHeight="1">
      <c r="A15" s="9" t="s">
        <v>383</v>
      </c>
      <c r="C15" s="60"/>
      <c r="D15" s="61"/>
      <c r="E15" s="61"/>
      <c r="F15" s="62"/>
      <c r="G15" s="63" t="s">
        <v>385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B11:D11"/>
    <mergeCell ref="C15:F15"/>
  </mergeCells>
  <dataValidations>
    <dataValidation type="list" allowBlank="1" sqref="C14">
      <formula1>"Yes,No"</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3" width="26.0"/>
    <col customWidth="1" min="14" max="26" width="8.71"/>
  </cols>
  <sheetData>
    <row r="1" ht="27.75" customHeight="1">
      <c r="A1" s="1" t="s">
        <v>381</v>
      </c>
      <c r="B1" s="2"/>
      <c r="C1" s="2"/>
      <c r="D1" s="2"/>
      <c r="E1" s="2"/>
      <c r="F1" s="2"/>
      <c r="G1" s="2"/>
      <c r="H1" s="2"/>
      <c r="I1" s="2"/>
      <c r="J1" s="2"/>
      <c r="K1" s="2"/>
      <c r="L1" s="2"/>
      <c r="M1" s="3"/>
    </row>
    <row r="2" ht="19.5" customHeight="1">
      <c r="A2" s="4" t="s">
        <v>384</v>
      </c>
    </row>
    <row r="4" ht="25.5" customHeight="1">
      <c r="A4" s="44" t="s">
        <v>386</v>
      </c>
      <c r="B4" s="44" t="s">
        <v>387</v>
      </c>
      <c r="C4" s="44" t="s">
        <v>388</v>
      </c>
      <c r="D4" s="44" t="s">
        <v>389</v>
      </c>
      <c r="E4" s="44" t="s">
        <v>390</v>
      </c>
      <c r="F4" s="44" t="s">
        <v>391</v>
      </c>
      <c r="G4" s="44" t="s">
        <v>343</v>
      </c>
      <c r="H4" s="44" t="s">
        <v>392</v>
      </c>
      <c r="I4" s="44" t="s">
        <v>393</v>
      </c>
      <c r="J4" s="44" t="s">
        <v>394</v>
      </c>
      <c r="K4" s="44" t="s">
        <v>395</v>
      </c>
      <c r="L4" s="44" t="s">
        <v>396</v>
      </c>
      <c r="M4" s="44" t="s">
        <v>397</v>
      </c>
    </row>
    <row r="5" ht="33.75" customHeight="1">
      <c r="A5" s="5" t="s">
        <v>398</v>
      </c>
      <c r="B5" s="5" t="s">
        <v>399</v>
      </c>
      <c r="C5" s="5" t="s">
        <v>400</v>
      </c>
      <c r="D5" s="5" t="s">
        <v>401</v>
      </c>
      <c r="E5" s="5" t="s">
        <v>402</v>
      </c>
      <c r="F5" s="5" t="s">
        <v>403</v>
      </c>
      <c r="G5" s="5" t="s">
        <v>170</v>
      </c>
      <c r="H5" s="5" t="s">
        <v>404</v>
      </c>
      <c r="I5" s="5" t="s">
        <v>405</v>
      </c>
      <c r="J5" s="5" t="s">
        <v>406</v>
      </c>
      <c r="K5" s="5" t="s">
        <v>141</v>
      </c>
      <c r="L5" s="5" t="s">
        <v>407</v>
      </c>
      <c r="M5" s="5" t="s">
        <v>294</v>
      </c>
    </row>
    <row r="6" ht="24.0" customHeight="1">
      <c r="A6" s="46"/>
      <c r="B6" s="46"/>
      <c r="C6" s="46"/>
      <c r="D6" s="46"/>
      <c r="E6" s="46"/>
      <c r="F6" s="46"/>
      <c r="G6" s="46"/>
      <c r="H6" s="46"/>
      <c r="I6" s="46"/>
      <c r="J6" s="46"/>
      <c r="K6" s="46"/>
      <c r="L6" s="46"/>
      <c r="M6" s="45" t="s">
        <v>408</v>
      </c>
    </row>
    <row r="7" ht="25.5" customHeight="1">
      <c r="A7" s="47" t="s">
        <v>409</v>
      </c>
      <c r="B7" s="47" t="s">
        <v>410</v>
      </c>
      <c r="C7" s="47" t="s">
        <v>411</v>
      </c>
      <c r="D7" s="47" t="s">
        <v>412</v>
      </c>
      <c r="E7" s="47"/>
      <c r="F7" s="47"/>
      <c r="G7" s="47"/>
      <c r="H7" s="47"/>
      <c r="I7" s="47"/>
      <c r="J7" s="47"/>
      <c r="K7" s="47"/>
      <c r="L7" s="47"/>
      <c r="M7" s="47"/>
    </row>
    <row r="8" ht="25.5" customHeight="1">
      <c r="A8" s="15"/>
      <c r="B8" s="15"/>
      <c r="C8" s="15"/>
      <c r="D8" s="15"/>
      <c r="E8" s="29"/>
      <c r="F8" s="29"/>
      <c r="G8" s="35"/>
      <c r="H8" s="15"/>
      <c r="I8" s="15"/>
      <c r="J8" s="15"/>
      <c r="K8" s="15"/>
      <c r="L8" s="15"/>
      <c r="M8" s="15"/>
    </row>
    <row r="9" ht="25.5" customHeight="1">
      <c r="A9" s="15"/>
      <c r="B9" s="15"/>
      <c r="C9" s="15"/>
      <c r="D9" s="15"/>
      <c r="E9" s="29"/>
      <c r="F9" s="29"/>
      <c r="G9" s="35"/>
      <c r="H9" s="15"/>
      <c r="I9" s="15"/>
      <c r="J9" s="15"/>
      <c r="K9" s="15"/>
      <c r="L9" s="15"/>
      <c r="M9" s="15"/>
    </row>
    <row r="10" ht="25.5" customHeight="1">
      <c r="A10" s="15"/>
      <c r="B10" s="15"/>
      <c r="C10" s="15"/>
      <c r="D10" s="15"/>
      <c r="E10" s="29"/>
      <c r="F10" s="29"/>
      <c r="G10" s="35"/>
      <c r="H10" s="15"/>
      <c r="I10" s="15"/>
      <c r="J10" s="15"/>
      <c r="K10" s="15"/>
      <c r="L10" s="15"/>
      <c r="M10" s="15"/>
    </row>
    <row r="11" ht="25.5" customHeight="1">
      <c r="A11" s="15"/>
      <c r="B11" s="15"/>
      <c r="C11" s="15"/>
      <c r="D11" s="15"/>
      <c r="E11" s="29"/>
      <c r="F11" s="29"/>
      <c r="G11" s="35"/>
      <c r="H11" s="15"/>
      <c r="I11" s="15"/>
      <c r="J11" s="15"/>
      <c r="K11" s="15"/>
      <c r="L11" s="15"/>
      <c r="M11" s="15"/>
    </row>
    <row r="12" ht="25.5" customHeight="1">
      <c r="A12" s="15"/>
      <c r="B12" s="15"/>
      <c r="C12" s="15"/>
      <c r="D12" s="15"/>
      <c r="E12" s="29"/>
      <c r="F12" s="29"/>
      <c r="G12" s="35"/>
      <c r="H12" s="15"/>
      <c r="I12" s="15"/>
      <c r="J12" s="15"/>
      <c r="K12" s="15"/>
      <c r="L12" s="15"/>
      <c r="M12" s="15"/>
    </row>
    <row r="13" ht="25.5" customHeight="1">
      <c r="A13" s="15"/>
      <c r="B13" s="15"/>
      <c r="C13" s="15"/>
      <c r="D13" s="15"/>
      <c r="E13" s="29"/>
      <c r="F13" s="29"/>
      <c r="G13" s="35"/>
      <c r="H13" s="15"/>
      <c r="I13" s="15"/>
      <c r="J13" s="15"/>
      <c r="K13" s="15"/>
      <c r="L13" s="15"/>
      <c r="M13" s="15"/>
    </row>
    <row r="14" ht="25.5" customHeight="1">
      <c r="A14" s="15"/>
      <c r="B14" s="15"/>
      <c r="C14" s="15"/>
      <c r="D14" s="15"/>
      <c r="E14" s="29"/>
      <c r="F14" s="29"/>
      <c r="G14" s="35"/>
      <c r="H14" s="15"/>
      <c r="I14" s="15"/>
      <c r="J14" s="15"/>
      <c r="K14" s="15"/>
      <c r="L14" s="15"/>
      <c r="M14" s="15"/>
    </row>
    <row r="15" ht="25.5" customHeight="1">
      <c r="A15" s="15"/>
      <c r="B15" s="15"/>
      <c r="C15" s="15"/>
      <c r="D15" s="15"/>
      <c r="E15" s="29"/>
      <c r="F15" s="29"/>
      <c r="G15" s="35"/>
      <c r="H15" s="15"/>
      <c r="I15" s="15"/>
      <c r="J15" s="15"/>
      <c r="K15" s="15"/>
      <c r="L15" s="15"/>
      <c r="M15" s="15"/>
    </row>
    <row r="16" ht="25.5" customHeight="1">
      <c r="A16" s="15"/>
      <c r="B16" s="15"/>
      <c r="C16" s="15"/>
      <c r="D16" s="15"/>
      <c r="E16" s="29"/>
      <c r="F16" s="29"/>
      <c r="G16" s="35"/>
      <c r="H16" s="15"/>
      <c r="I16" s="15"/>
      <c r="J16" s="15"/>
      <c r="K16" s="15"/>
      <c r="L16" s="15"/>
      <c r="M16" s="15"/>
    </row>
    <row r="17" ht="25.5" customHeight="1">
      <c r="A17" s="15"/>
      <c r="B17" s="15"/>
      <c r="C17" s="15"/>
      <c r="D17" s="15"/>
      <c r="E17" s="29"/>
      <c r="F17" s="29"/>
      <c r="G17" s="35"/>
      <c r="H17" s="15"/>
      <c r="I17" s="15"/>
      <c r="J17" s="15"/>
      <c r="K17" s="15"/>
      <c r="L17" s="15"/>
      <c r="M17" s="15"/>
    </row>
    <row r="18" ht="25.5" customHeight="1">
      <c r="A18" s="15"/>
      <c r="B18" s="15"/>
      <c r="C18" s="15"/>
      <c r="D18" s="15"/>
      <c r="E18" s="29"/>
      <c r="F18" s="29"/>
      <c r="G18" s="35"/>
      <c r="H18" s="15"/>
      <c r="I18" s="15"/>
      <c r="J18" s="15"/>
      <c r="K18" s="15"/>
      <c r="L18" s="15"/>
      <c r="M18" s="15"/>
    </row>
    <row r="19" ht="25.5" customHeight="1">
      <c r="A19" s="15"/>
      <c r="B19" s="15"/>
      <c r="C19" s="15"/>
      <c r="D19" s="15"/>
      <c r="E19" s="29"/>
      <c r="F19" s="29"/>
      <c r="G19" s="35"/>
      <c r="H19" s="15"/>
      <c r="I19" s="15"/>
      <c r="J19" s="15"/>
      <c r="K19" s="15"/>
      <c r="L19" s="15"/>
      <c r="M19" s="15"/>
    </row>
    <row r="20" ht="25.5" customHeight="1">
      <c r="A20" s="15"/>
      <c r="B20" s="15"/>
      <c r="C20" s="15"/>
      <c r="D20" s="15"/>
      <c r="E20" s="29"/>
      <c r="F20" s="29"/>
      <c r="G20" s="35"/>
      <c r="H20" s="15"/>
      <c r="I20" s="15"/>
      <c r="J20" s="15"/>
      <c r="K20" s="15"/>
      <c r="L20" s="15"/>
      <c r="M20" s="15"/>
    </row>
    <row r="21" ht="25.5" customHeight="1">
      <c r="A21" s="15"/>
      <c r="B21" s="15"/>
      <c r="C21" s="15"/>
      <c r="D21" s="15"/>
      <c r="E21" s="29"/>
      <c r="F21" s="29"/>
      <c r="G21" s="35"/>
      <c r="H21" s="15"/>
      <c r="I21" s="15"/>
      <c r="J21" s="15"/>
      <c r="K21" s="15"/>
      <c r="L21" s="15"/>
      <c r="M21" s="15"/>
    </row>
    <row r="22" ht="25.5" customHeight="1">
      <c r="A22" s="15"/>
      <c r="B22" s="15"/>
      <c r="C22" s="15"/>
      <c r="D22" s="15"/>
      <c r="E22" s="29"/>
      <c r="F22" s="29"/>
      <c r="G22" s="35"/>
      <c r="H22" s="15"/>
      <c r="I22" s="15"/>
      <c r="J22" s="15"/>
      <c r="K22" s="15"/>
      <c r="L22" s="15"/>
      <c r="M22" s="15"/>
    </row>
    <row r="23" ht="25.5" customHeight="1">
      <c r="A23" s="15"/>
      <c r="B23" s="15"/>
      <c r="C23" s="15"/>
      <c r="D23" s="15"/>
      <c r="E23" s="29"/>
      <c r="F23" s="29"/>
      <c r="G23" s="35"/>
      <c r="H23" s="15"/>
      <c r="I23" s="15"/>
      <c r="J23" s="15"/>
      <c r="K23" s="15"/>
      <c r="L23" s="15"/>
      <c r="M23" s="15"/>
    </row>
    <row r="24" ht="25.5" customHeight="1">
      <c r="A24" s="15"/>
      <c r="B24" s="15"/>
      <c r="C24" s="15"/>
      <c r="D24" s="15"/>
      <c r="E24" s="29"/>
      <c r="F24" s="29"/>
      <c r="G24" s="35"/>
      <c r="H24" s="15"/>
      <c r="I24" s="15"/>
      <c r="J24" s="15"/>
      <c r="K24" s="15"/>
      <c r="L24" s="15"/>
      <c r="M24" s="15"/>
    </row>
    <row r="25" ht="25.5" customHeight="1">
      <c r="A25" s="15"/>
      <c r="B25" s="15"/>
      <c r="C25" s="15"/>
      <c r="D25" s="15"/>
      <c r="E25" s="29"/>
      <c r="F25" s="29"/>
      <c r="G25" s="35"/>
      <c r="H25" s="15"/>
      <c r="I25" s="15"/>
      <c r="J25" s="15"/>
      <c r="K25" s="15"/>
      <c r="L25" s="15"/>
      <c r="M25" s="15"/>
    </row>
    <row r="26" ht="25.5" customHeight="1">
      <c r="A26" s="15"/>
      <c r="B26" s="15"/>
      <c r="C26" s="15"/>
      <c r="D26" s="15"/>
      <c r="E26" s="29"/>
      <c r="F26" s="29"/>
      <c r="G26" s="35"/>
      <c r="H26" s="15"/>
      <c r="I26" s="15"/>
      <c r="J26" s="15"/>
      <c r="K26" s="15"/>
      <c r="L26" s="15"/>
      <c r="M26" s="15"/>
    </row>
    <row r="27" ht="25.5" customHeight="1">
      <c r="A27" s="15"/>
      <c r="B27" s="15"/>
      <c r="C27" s="15"/>
      <c r="D27" s="15"/>
      <c r="E27" s="29"/>
      <c r="F27" s="29"/>
      <c r="G27" s="35"/>
      <c r="H27" s="15"/>
      <c r="I27" s="15"/>
      <c r="J27" s="15"/>
      <c r="K27" s="15"/>
      <c r="L27" s="15"/>
      <c r="M27" s="15"/>
    </row>
    <row r="28" ht="25.5" customHeight="1">
      <c r="A28" s="15"/>
      <c r="B28" s="15"/>
      <c r="C28" s="15"/>
      <c r="D28" s="15"/>
      <c r="E28" s="29"/>
      <c r="F28" s="29"/>
      <c r="G28" s="35"/>
      <c r="H28" s="15"/>
      <c r="I28" s="15"/>
      <c r="J28" s="15"/>
      <c r="K28" s="15"/>
      <c r="L28" s="15"/>
      <c r="M28" s="15"/>
    </row>
    <row r="29" ht="25.5" customHeight="1">
      <c r="A29" s="15"/>
      <c r="B29" s="15"/>
      <c r="C29" s="15"/>
      <c r="D29" s="15"/>
      <c r="E29" s="29"/>
      <c r="F29" s="29"/>
      <c r="G29" s="35"/>
      <c r="H29" s="15"/>
      <c r="I29" s="15"/>
      <c r="J29" s="15"/>
      <c r="K29" s="15"/>
      <c r="L29" s="15"/>
      <c r="M29" s="15"/>
    </row>
    <row r="30" ht="25.5" customHeight="1">
      <c r="A30" s="15"/>
      <c r="B30" s="15"/>
      <c r="C30" s="15"/>
      <c r="D30" s="15"/>
      <c r="E30" s="29"/>
      <c r="F30" s="29"/>
      <c r="G30" s="35"/>
      <c r="H30" s="15"/>
      <c r="I30" s="15"/>
      <c r="J30" s="15"/>
      <c r="K30" s="15"/>
      <c r="L30" s="15"/>
      <c r="M30" s="15"/>
    </row>
    <row r="31" ht="25.5" customHeight="1">
      <c r="A31" s="15"/>
      <c r="B31" s="15"/>
      <c r="C31" s="15"/>
      <c r="D31" s="15"/>
      <c r="E31" s="29"/>
      <c r="F31" s="29"/>
      <c r="G31" s="35"/>
      <c r="H31" s="15"/>
      <c r="I31" s="15"/>
      <c r="J31" s="15"/>
      <c r="K31" s="15"/>
      <c r="L31" s="15"/>
      <c r="M31" s="15"/>
    </row>
    <row r="32" ht="25.5" customHeight="1">
      <c r="A32" s="15"/>
      <c r="B32" s="15"/>
      <c r="C32" s="15"/>
      <c r="D32" s="15"/>
      <c r="E32" s="29"/>
      <c r="F32" s="29"/>
      <c r="G32" s="35"/>
      <c r="H32" s="15"/>
      <c r="I32" s="15"/>
      <c r="J32" s="15"/>
      <c r="K32" s="15"/>
      <c r="L32" s="15"/>
      <c r="M32" s="15"/>
    </row>
    <row r="33" ht="25.5" customHeight="1">
      <c r="A33" s="15"/>
      <c r="B33" s="15"/>
      <c r="C33" s="15"/>
      <c r="D33" s="15"/>
      <c r="E33" s="29"/>
      <c r="F33" s="29"/>
      <c r="G33" s="35"/>
      <c r="H33" s="15"/>
      <c r="I33" s="15"/>
      <c r="J33" s="15"/>
      <c r="K33" s="15"/>
      <c r="L33" s="15"/>
      <c r="M33" s="15"/>
    </row>
    <row r="34" ht="25.5" customHeight="1">
      <c r="A34" s="15"/>
      <c r="B34" s="15"/>
      <c r="C34" s="15"/>
      <c r="D34" s="15"/>
      <c r="E34" s="29"/>
      <c r="F34" s="29"/>
      <c r="G34" s="35"/>
      <c r="H34" s="15"/>
      <c r="I34" s="15"/>
      <c r="J34" s="15"/>
      <c r="K34" s="15"/>
      <c r="L34" s="15"/>
      <c r="M34" s="15"/>
    </row>
    <row r="35" ht="25.5" customHeight="1">
      <c r="A35" s="15"/>
      <c r="B35" s="15"/>
      <c r="C35" s="15"/>
      <c r="D35" s="15"/>
      <c r="E35" s="29"/>
      <c r="F35" s="29"/>
      <c r="G35" s="35"/>
      <c r="H35" s="15"/>
      <c r="I35" s="15"/>
      <c r="J35" s="15"/>
      <c r="K35" s="15"/>
      <c r="L35" s="15"/>
      <c r="M35" s="15"/>
    </row>
    <row r="36" ht="25.5" customHeight="1">
      <c r="A36" s="15"/>
      <c r="B36" s="15"/>
      <c r="C36" s="15"/>
      <c r="D36" s="15"/>
      <c r="E36" s="29"/>
      <c r="F36" s="29"/>
      <c r="G36" s="35"/>
      <c r="H36" s="15"/>
      <c r="I36" s="15"/>
      <c r="J36" s="15"/>
      <c r="K36" s="15"/>
      <c r="L36" s="15"/>
      <c r="M36" s="15"/>
    </row>
    <row r="37" ht="25.5" customHeight="1">
      <c r="A37" s="15"/>
      <c r="B37" s="15"/>
      <c r="C37" s="15"/>
      <c r="D37" s="15"/>
      <c r="E37" s="29"/>
      <c r="F37" s="29"/>
      <c r="G37" s="35"/>
      <c r="H37" s="15"/>
      <c r="I37" s="15"/>
      <c r="J37" s="15"/>
      <c r="K37" s="15"/>
      <c r="L37" s="15"/>
      <c r="M37" s="15"/>
    </row>
    <row r="38" ht="25.5" customHeight="1">
      <c r="A38" s="15"/>
      <c r="B38" s="15"/>
      <c r="C38" s="15"/>
      <c r="D38" s="15"/>
      <c r="E38" s="29"/>
      <c r="F38" s="29"/>
      <c r="G38" s="35"/>
      <c r="H38" s="15"/>
      <c r="I38" s="15"/>
      <c r="J38" s="15"/>
      <c r="K38" s="15"/>
      <c r="L38" s="15"/>
      <c r="M38" s="15"/>
    </row>
    <row r="39" ht="25.5" customHeight="1">
      <c r="A39" s="15"/>
      <c r="B39" s="15"/>
      <c r="C39" s="15"/>
      <c r="D39" s="15"/>
      <c r="E39" s="29"/>
      <c r="F39" s="29"/>
      <c r="G39" s="35"/>
      <c r="H39" s="15"/>
      <c r="I39" s="15"/>
      <c r="J39" s="15"/>
      <c r="K39" s="15"/>
      <c r="L39" s="15"/>
      <c r="M39" s="15"/>
    </row>
    <row r="40" ht="25.5" customHeight="1">
      <c r="A40" s="15"/>
      <c r="B40" s="15"/>
      <c r="C40" s="15"/>
      <c r="D40" s="15"/>
      <c r="E40" s="29"/>
      <c r="F40" s="29"/>
      <c r="G40" s="35"/>
      <c r="H40" s="15"/>
      <c r="I40" s="15"/>
      <c r="J40" s="15"/>
      <c r="K40" s="15"/>
      <c r="L40" s="15"/>
      <c r="M40" s="15"/>
    </row>
    <row r="41" ht="25.5" customHeight="1">
      <c r="A41" s="15"/>
      <c r="B41" s="15"/>
      <c r="C41" s="15"/>
      <c r="D41" s="15"/>
      <c r="E41" s="29"/>
      <c r="F41" s="29"/>
      <c r="G41" s="35"/>
      <c r="H41" s="15"/>
      <c r="I41" s="15"/>
      <c r="J41" s="15"/>
      <c r="K41" s="15"/>
      <c r="L41" s="15"/>
      <c r="M41" s="15"/>
    </row>
    <row r="42" ht="25.5" customHeight="1">
      <c r="A42" s="15"/>
      <c r="B42" s="15"/>
      <c r="C42" s="15"/>
      <c r="D42" s="15"/>
      <c r="E42" s="29"/>
      <c r="F42" s="29"/>
      <c r="G42" s="35"/>
      <c r="H42" s="15"/>
      <c r="I42" s="15"/>
      <c r="J42" s="15"/>
      <c r="K42" s="15"/>
      <c r="L42" s="15"/>
      <c r="M42" s="15"/>
    </row>
    <row r="43" ht="25.5" customHeight="1">
      <c r="A43" s="15"/>
      <c r="B43" s="15"/>
      <c r="C43" s="15"/>
      <c r="D43" s="15"/>
      <c r="E43" s="29"/>
      <c r="F43" s="29"/>
      <c r="G43" s="35"/>
      <c r="H43" s="15"/>
      <c r="I43" s="15"/>
      <c r="J43" s="15"/>
      <c r="K43" s="15"/>
      <c r="L43" s="15"/>
      <c r="M43" s="15"/>
    </row>
    <row r="44" ht="25.5" customHeight="1">
      <c r="A44" s="15"/>
      <c r="B44" s="15"/>
      <c r="C44" s="15"/>
      <c r="D44" s="15"/>
      <c r="E44" s="29"/>
      <c r="F44" s="29"/>
      <c r="G44" s="35"/>
      <c r="H44" s="15"/>
      <c r="I44" s="15"/>
      <c r="J44" s="15"/>
      <c r="K44" s="15"/>
      <c r="L44" s="15"/>
      <c r="M44" s="15"/>
    </row>
    <row r="45" ht="25.5" customHeight="1">
      <c r="A45" s="15"/>
      <c r="B45" s="15"/>
      <c r="C45" s="15"/>
      <c r="D45" s="15"/>
      <c r="E45" s="29"/>
      <c r="F45" s="29"/>
      <c r="G45" s="35"/>
      <c r="H45" s="15"/>
      <c r="I45" s="15"/>
      <c r="J45" s="15"/>
      <c r="K45" s="15"/>
      <c r="L45" s="15"/>
      <c r="M45" s="15"/>
    </row>
    <row r="46" ht="25.5" customHeight="1">
      <c r="A46" s="15"/>
      <c r="B46" s="15"/>
      <c r="C46" s="15"/>
      <c r="D46" s="15"/>
      <c r="E46" s="29"/>
      <c r="F46" s="29"/>
      <c r="G46" s="35"/>
      <c r="H46" s="15"/>
      <c r="I46" s="15"/>
      <c r="J46" s="15"/>
      <c r="K46" s="15"/>
      <c r="L46" s="15"/>
      <c r="M46" s="15"/>
    </row>
    <row r="47" ht="25.5" customHeight="1">
      <c r="A47" s="15"/>
      <c r="B47" s="15"/>
      <c r="C47" s="15"/>
      <c r="D47" s="15"/>
      <c r="E47" s="29"/>
      <c r="F47" s="29"/>
      <c r="G47" s="35"/>
      <c r="H47" s="15"/>
      <c r="I47" s="15"/>
      <c r="J47" s="15"/>
      <c r="K47" s="15"/>
      <c r="L47" s="15"/>
      <c r="M47" s="15"/>
    </row>
    <row r="48" ht="25.5" customHeight="1">
      <c r="A48" s="15"/>
      <c r="B48" s="15"/>
      <c r="C48" s="15"/>
      <c r="D48" s="15"/>
      <c r="E48" s="29"/>
      <c r="F48" s="29"/>
      <c r="G48" s="35"/>
      <c r="H48" s="15"/>
      <c r="I48" s="15"/>
      <c r="J48" s="15"/>
      <c r="K48" s="15"/>
      <c r="L48" s="15"/>
      <c r="M48" s="15"/>
    </row>
    <row r="49" ht="25.5" customHeight="1">
      <c r="A49" s="15"/>
      <c r="B49" s="15"/>
      <c r="C49" s="15"/>
      <c r="D49" s="15"/>
      <c r="E49" s="29"/>
      <c r="F49" s="29"/>
      <c r="G49" s="35"/>
      <c r="H49" s="15"/>
      <c r="I49" s="15"/>
      <c r="J49" s="15"/>
      <c r="K49" s="15"/>
      <c r="L49" s="15"/>
      <c r="M49" s="15"/>
    </row>
    <row r="50" ht="25.5" customHeight="1">
      <c r="A50" s="15"/>
      <c r="B50" s="15"/>
      <c r="C50" s="15"/>
      <c r="D50" s="15"/>
      <c r="E50" s="29"/>
      <c r="F50" s="29"/>
      <c r="G50" s="35"/>
      <c r="H50" s="15"/>
      <c r="I50" s="15"/>
      <c r="J50" s="15"/>
      <c r="K50" s="15"/>
      <c r="L50" s="15"/>
      <c r="M50" s="15"/>
    </row>
    <row r="51" ht="25.5" customHeight="1">
      <c r="A51" s="15"/>
      <c r="B51" s="15"/>
      <c r="C51" s="15"/>
      <c r="D51" s="15"/>
      <c r="E51" s="29"/>
      <c r="F51" s="29"/>
      <c r="G51" s="35"/>
      <c r="H51" s="15"/>
      <c r="I51" s="15"/>
      <c r="J51" s="15"/>
      <c r="K51" s="15"/>
      <c r="L51" s="15"/>
      <c r="M51" s="15"/>
    </row>
    <row r="52" ht="25.5" customHeight="1">
      <c r="A52" s="15"/>
      <c r="B52" s="15"/>
      <c r="C52" s="15"/>
      <c r="D52" s="15"/>
      <c r="E52" s="29"/>
      <c r="F52" s="29"/>
      <c r="G52" s="35"/>
      <c r="H52" s="15"/>
      <c r="I52" s="15"/>
      <c r="J52" s="15"/>
      <c r="K52" s="15"/>
      <c r="L52" s="15"/>
      <c r="M52" s="15"/>
    </row>
    <row r="53" ht="25.5" customHeight="1">
      <c r="A53" s="15"/>
      <c r="B53" s="15"/>
      <c r="C53" s="15"/>
      <c r="D53" s="15"/>
      <c r="E53" s="29"/>
      <c r="F53" s="29"/>
      <c r="G53" s="35"/>
      <c r="H53" s="15"/>
      <c r="I53" s="15"/>
      <c r="J53" s="15"/>
      <c r="K53" s="15"/>
      <c r="L53" s="15"/>
      <c r="M53" s="15"/>
    </row>
    <row r="54" ht="25.5" customHeight="1">
      <c r="A54" s="15"/>
      <c r="B54" s="15"/>
      <c r="C54" s="15"/>
      <c r="D54" s="15"/>
      <c r="E54" s="29"/>
      <c r="F54" s="29"/>
      <c r="G54" s="35"/>
      <c r="H54" s="15"/>
      <c r="I54" s="15"/>
      <c r="J54" s="15"/>
      <c r="K54" s="15"/>
      <c r="L54" s="15"/>
      <c r="M54" s="15"/>
    </row>
    <row r="55" ht="25.5" customHeight="1">
      <c r="A55" s="15"/>
      <c r="B55" s="15"/>
      <c r="C55" s="15"/>
      <c r="D55" s="15"/>
      <c r="E55" s="29"/>
      <c r="F55" s="29"/>
      <c r="G55" s="35"/>
      <c r="H55" s="15"/>
      <c r="I55" s="15"/>
      <c r="J55" s="15"/>
      <c r="K55" s="15"/>
      <c r="L55" s="15"/>
      <c r="M55" s="15"/>
    </row>
    <row r="56" ht="25.5" customHeight="1">
      <c r="A56" s="15"/>
      <c r="B56" s="15"/>
      <c r="C56" s="15"/>
      <c r="D56" s="15"/>
      <c r="E56" s="29"/>
      <c r="F56" s="29"/>
      <c r="G56" s="35"/>
      <c r="H56" s="15"/>
      <c r="I56" s="15"/>
      <c r="J56" s="15"/>
      <c r="K56" s="15"/>
      <c r="L56" s="15"/>
      <c r="M56" s="15"/>
    </row>
    <row r="57" ht="25.5" customHeight="1">
      <c r="A57" s="15"/>
      <c r="B57" s="15"/>
      <c r="C57" s="15"/>
      <c r="D57" s="15"/>
      <c r="E57" s="29"/>
      <c r="F57" s="29"/>
      <c r="G57" s="35"/>
      <c r="H57" s="15"/>
      <c r="I57" s="15"/>
      <c r="J57" s="15"/>
      <c r="K57" s="15"/>
      <c r="L57" s="15"/>
      <c r="M57" s="15"/>
    </row>
    <row r="58" ht="25.5" customHeight="1">
      <c r="A58" s="15"/>
      <c r="B58" s="15"/>
      <c r="C58" s="15"/>
      <c r="D58" s="15"/>
      <c r="E58" s="29"/>
      <c r="F58" s="29"/>
      <c r="G58" s="35"/>
      <c r="H58" s="15"/>
      <c r="I58" s="15"/>
      <c r="J58" s="15"/>
      <c r="K58" s="15"/>
      <c r="L58" s="15"/>
      <c r="M58" s="15"/>
    </row>
    <row r="59" ht="25.5" customHeight="1">
      <c r="A59" s="15"/>
      <c r="B59" s="15"/>
      <c r="C59" s="15"/>
      <c r="D59" s="15"/>
      <c r="E59" s="29"/>
      <c r="F59" s="29"/>
      <c r="G59" s="35"/>
      <c r="H59" s="15"/>
      <c r="I59" s="15"/>
      <c r="J59" s="15"/>
      <c r="K59" s="15"/>
      <c r="L59" s="15"/>
      <c r="M59" s="15"/>
    </row>
    <row r="60" ht="25.5" customHeight="1">
      <c r="A60" s="15"/>
      <c r="B60" s="15"/>
      <c r="C60" s="15"/>
      <c r="D60" s="15"/>
      <c r="E60" s="29"/>
      <c r="F60" s="29"/>
      <c r="G60" s="35"/>
      <c r="H60" s="15"/>
      <c r="I60" s="15"/>
      <c r="J60" s="15"/>
      <c r="K60" s="15"/>
      <c r="L60" s="15"/>
      <c r="M60" s="15"/>
    </row>
    <row r="61" ht="25.5" customHeight="1">
      <c r="A61" s="15"/>
      <c r="B61" s="15"/>
      <c r="C61" s="15"/>
      <c r="D61" s="15"/>
      <c r="E61" s="29"/>
      <c r="F61" s="29"/>
      <c r="G61" s="35"/>
      <c r="H61" s="15"/>
      <c r="I61" s="15"/>
      <c r="J61" s="15"/>
      <c r="K61" s="15"/>
      <c r="L61" s="15"/>
      <c r="M61" s="15"/>
    </row>
    <row r="62" ht="25.5" customHeight="1">
      <c r="A62" s="15"/>
      <c r="B62" s="15"/>
      <c r="C62" s="15"/>
      <c r="D62" s="15"/>
      <c r="E62" s="29"/>
      <c r="F62" s="29"/>
      <c r="G62" s="35"/>
      <c r="H62" s="15"/>
      <c r="I62" s="15"/>
      <c r="J62" s="15"/>
      <c r="K62" s="15"/>
      <c r="L62" s="15"/>
      <c r="M62" s="15"/>
    </row>
    <row r="63" ht="25.5" customHeight="1">
      <c r="A63" s="15"/>
      <c r="B63" s="15"/>
      <c r="C63" s="15"/>
      <c r="D63" s="15"/>
      <c r="E63" s="29"/>
      <c r="F63" s="29"/>
      <c r="G63" s="35"/>
      <c r="H63" s="15"/>
      <c r="I63" s="15"/>
      <c r="J63" s="15"/>
      <c r="K63" s="15"/>
      <c r="L63" s="15"/>
      <c r="M63" s="15"/>
    </row>
    <row r="64" ht="25.5" customHeight="1">
      <c r="A64" s="15"/>
      <c r="B64" s="15"/>
      <c r="C64" s="15"/>
      <c r="D64" s="15"/>
      <c r="E64" s="29"/>
      <c r="F64" s="29"/>
      <c r="G64" s="35"/>
      <c r="H64" s="15"/>
      <c r="I64" s="15"/>
      <c r="J64" s="15"/>
      <c r="K64" s="15"/>
      <c r="L64" s="15"/>
      <c r="M64" s="15"/>
    </row>
    <row r="65" ht="25.5" customHeight="1">
      <c r="A65" s="15"/>
      <c r="B65" s="15"/>
      <c r="C65" s="15"/>
      <c r="D65" s="15"/>
      <c r="E65" s="29"/>
      <c r="F65" s="29"/>
      <c r="G65" s="35"/>
      <c r="H65" s="15"/>
      <c r="I65" s="15"/>
      <c r="J65" s="15"/>
      <c r="K65" s="15"/>
      <c r="L65" s="15"/>
      <c r="M65" s="15"/>
    </row>
    <row r="66" ht="25.5" customHeight="1">
      <c r="A66" s="15"/>
      <c r="B66" s="15"/>
      <c r="C66" s="15"/>
      <c r="D66" s="15"/>
      <c r="E66" s="29"/>
      <c r="F66" s="29"/>
      <c r="G66" s="35"/>
      <c r="H66" s="15"/>
      <c r="I66" s="15"/>
      <c r="J66" s="15"/>
      <c r="K66" s="15"/>
      <c r="L66" s="15"/>
      <c r="M66" s="15"/>
    </row>
    <row r="67" ht="25.5" customHeight="1">
      <c r="A67" s="15"/>
      <c r="B67" s="15"/>
      <c r="C67" s="15"/>
      <c r="D67" s="15"/>
      <c r="E67" s="29"/>
      <c r="F67" s="29"/>
      <c r="G67" s="35"/>
      <c r="H67" s="15"/>
      <c r="I67" s="15"/>
      <c r="J67" s="15"/>
      <c r="K67" s="15"/>
      <c r="L67" s="15"/>
      <c r="M67" s="15"/>
    </row>
    <row r="68" ht="25.5" customHeight="1">
      <c r="A68" s="15"/>
      <c r="B68" s="15"/>
      <c r="C68" s="15"/>
      <c r="D68" s="15"/>
      <c r="E68" s="29"/>
      <c r="F68" s="29"/>
      <c r="G68" s="35"/>
      <c r="H68" s="15"/>
      <c r="I68" s="15"/>
      <c r="J68" s="15"/>
      <c r="K68" s="15"/>
      <c r="L68" s="15"/>
      <c r="M68" s="15"/>
    </row>
    <row r="69" ht="25.5" customHeight="1">
      <c r="A69" s="15"/>
      <c r="B69" s="15"/>
      <c r="C69" s="15"/>
      <c r="D69" s="15"/>
      <c r="E69" s="29"/>
      <c r="F69" s="29"/>
      <c r="G69" s="35"/>
      <c r="H69" s="15"/>
      <c r="I69" s="15"/>
      <c r="J69" s="15"/>
      <c r="K69" s="15"/>
      <c r="L69" s="15"/>
      <c r="M69" s="15"/>
    </row>
    <row r="70" ht="25.5" customHeight="1">
      <c r="A70" s="15"/>
      <c r="B70" s="15"/>
      <c r="C70" s="15"/>
      <c r="D70" s="15"/>
      <c r="E70" s="29"/>
      <c r="F70" s="29"/>
      <c r="G70" s="35"/>
      <c r="H70" s="15"/>
      <c r="I70" s="15"/>
      <c r="J70" s="15"/>
      <c r="K70" s="15"/>
      <c r="L70" s="15"/>
      <c r="M70" s="15"/>
    </row>
    <row r="71" ht="25.5" customHeight="1">
      <c r="A71" s="15"/>
      <c r="B71" s="15"/>
      <c r="C71" s="15"/>
      <c r="D71" s="15"/>
      <c r="E71" s="29"/>
      <c r="F71" s="29"/>
      <c r="G71" s="35"/>
      <c r="H71" s="15"/>
      <c r="I71" s="15"/>
      <c r="J71" s="15"/>
      <c r="K71" s="15"/>
      <c r="L71" s="15"/>
      <c r="M71" s="15"/>
    </row>
    <row r="72" ht="25.5" customHeight="1">
      <c r="A72" s="15"/>
      <c r="B72" s="15"/>
      <c r="C72" s="15"/>
      <c r="D72" s="15"/>
      <c r="E72" s="29"/>
      <c r="F72" s="29"/>
      <c r="G72" s="35"/>
      <c r="H72" s="15"/>
      <c r="I72" s="15"/>
      <c r="J72" s="15"/>
      <c r="K72" s="15"/>
      <c r="L72" s="15"/>
      <c r="M72" s="15"/>
    </row>
    <row r="73" ht="25.5" customHeight="1">
      <c r="A73" s="15"/>
      <c r="B73" s="15"/>
      <c r="C73" s="15"/>
      <c r="D73" s="15"/>
      <c r="E73" s="29"/>
      <c r="F73" s="29"/>
      <c r="G73" s="35"/>
      <c r="H73" s="15"/>
      <c r="I73" s="15"/>
      <c r="J73" s="15"/>
      <c r="K73" s="15"/>
      <c r="L73" s="15"/>
      <c r="M73" s="15"/>
    </row>
    <row r="74" ht="25.5" customHeight="1">
      <c r="A74" s="15"/>
      <c r="B74" s="15"/>
      <c r="C74" s="15"/>
      <c r="D74" s="15"/>
      <c r="E74" s="29"/>
      <c r="F74" s="29"/>
      <c r="G74" s="35"/>
      <c r="H74" s="15"/>
      <c r="I74" s="15"/>
      <c r="J74" s="15"/>
      <c r="K74" s="15"/>
      <c r="L74" s="15"/>
      <c r="M74" s="15"/>
    </row>
    <row r="75" ht="25.5" customHeight="1">
      <c r="A75" s="15"/>
      <c r="B75" s="15"/>
      <c r="C75" s="15"/>
      <c r="D75" s="15"/>
      <c r="E75" s="29"/>
      <c r="F75" s="29"/>
      <c r="G75" s="35"/>
      <c r="H75" s="15"/>
      <c r="I75" s="15"/>
      <c r="J75" s="15"/>
      <c r="K75" s="15"/>
      <c r="L75" s="15"/>
      <c r="M75" s="15"/>
    </row>
    <row r="76" ht="25.5" customHeight="1">
      <c r="A76" s="15"/>
      <c r="B76" s="15"/>
      <c r="C76" s="15"/>
      <c r="D76" s="15"/>
      <c r="E76" s="29"/>
      <c r="F76" s="29"/>
      <c r="G76" s="35"/>
      <c r="H76" s="15"/>
      <c r="I76" s="15"/>
      <c r="J76" s="15"/>
      <c r="K76" s="15"/>
      <c r="L76" s="15"/>
      <c r="M76" s="15"/>
    </row>
    <row r="77" ht="25.5" customHeight="1">
      <c r="A77" s="15"/>
      <c r="B77" s="15"/>
      <c r="C77" s="15"/>
      <c r="D77" s="15"/>
      <c r="E77" s="29"/>
      <c r="F77" s="29"/>
      <c r="G77" s="35"/>
      <c r="H77" s="15"/>
      <c r="I77" s="15"/>
      <c r="J77" s="15"/>
      <c r="K77" s="15"/>
      <c r="L77" s="15"/>
      <c r="M77" s="15"/>
    </row>
    <row r="78" ht="25.5" customHeight="1">
      <c r="A78" s="15"/>
      <c r="B78" s="15"/>
      <c r="C78" s="15"/>
      <c r="D78" s="15"/>
      <c r="E78" s="29"/>
      <c r="F78" s="29"/>
      <c r="G78" s="35"/>
      <c r="H78" s="15"/>
      <c r="I78" s="15"/>
      <c r="J78" s="15"/>
      <c r="K78" s="15"/>
      <c r="L78" s="15"/>
      <c r="M78" s="15"/>
    </row>
    <row r="79" ht="25.5" customHeight="1">
      <c r="A79" s="15"/>
      <c r="B79" s="15"/>
      <c r="C79" s="15"/>
      <c r="D79" s="15"/>
      <c r="E79" s="29"/>
      <c r="F79" s="29"/>
      <c r="G79" s="35"/>
      <c r="H79" s="15"/>
      <c r="I79" s="15"/>
      <c r="J79" s="15"/>
      <c r="K79" s="15"/>
      <c r="L79" s="15"/>
      <c r="M79" s="15"/>
    </row>
    <row r="80" ht="25.5" customHeight="1">
      <c r="A80" s="15"/>
      <c r="B80" s="15"/>
      <c r="C80" s="15"/>
      <c r="D80" s="15"/>
      <c r="E80" s="29"/>
      <c r="F80" s="29"/>
      <c r="G80" s="35"/>
      <c r="H80" s="15"/>
      <c r="I80" s="15"/>
      <c r="J80" s="15"/>
      <c r="K80" s="15"/>
      <c r="L80" s="15"/>
      <c r="M80" s="15"/>
    </row>
    <row r="81" ht="25.5" customHeight="1">
      <c r="A81" s="15"/>
      <c r="B81" s="15"/>
      <c r="C81" s="15"/>
      <c r="D81" s="15"/>
      <c r="E81" s="29"/>
      <c r="F81" s="29"/>
      <c r="G81" s="35"/>
      <c r="H81" s="15"/>
      <c r="I81" s="15"/>
      <c r="J81" s="15"/>
      <c r="K81" s="15"/>
      <c r="L81" s="15"/>
      <c r="M81" s="15"/>
    </row>
    <row r="82" ht="25.5" customHeight="1">
      <c r="A82" s="15"/>
      <c r="B82" s="15"/>
      <c r="C82" s="15"/>
      <c r="D82" s="15"/>
      <c r="E82" s="29"/>
      <c r="F82" s="29"/>
      <c r="G82" s="35"/>
      <c r="H82" s="15"/>
      <c r="I82" s="15"/>
      <c r="J82" s="15"/>
      <c r="K82" s="15"/>
      <c r="L82" s="15"/>
      <c r="M82" s="15"/>
    </row>
    <row r="83" ht="25.5" customHeight="1">
      <c r="A83" s="15"/>
      <c r="B83" s="15"/>
      <c r="C83" s="15"/>
      <c r="D83" s="15"/>
      <c r="E83" s="29"/>
      <c r="F83" s="29"/>
      <c r="G83" s="35"/>
      <c r="H83" s="15"/>
      <c r="I83" s="15"/>
      <c r="J83" s="15"/>
      <c r="K83" s="15"/>
      <c r="L83" s="15"/>
      <c r="M83" s="15"/>
    </row>
    <row r="84" ht="25.5" customHeight="1">
      <c r="A84" s="15"/>
      <c r="B84" s="15"/>
      <c r="C84" s="15"/>
      <c r="D84" s="15"/>
      <c r="E84" s="29"/>
      <c r="F84" s="29"/>
      <c r="G84" s="35"/>
      <c r="H84" s="15"/>
      <c r="I84" s="15"/>
      <c r="J84" s="15"/>
      <c r="K84" s="15"/>
      <c r="L84" s="15"/>
      <c r="M84" s="15"/>
    </row>
    <row r="85" ht="25.5" customHeight="1">
      <c r="A85" s="15"/>
      <c r="B85" s="15"/>
      <c r="C85" s="15"/>
      <c r="D85" s="15"/>
      <c r="E85" s="29"/>
      <c r="F85" s="29"/>
      <c r="G85" s="35"/>
      <c r="H85" s="15"/>
      <c r="I85" s="15"/>
      <c r="J85" s="15"/>
      <c r="K85" s="15"/>
      <c r="L85" s="15"/>
      <c r="M85" s="15"/>
    </row>
    <row r="86" ht="25.5" customHeight="1">
      <c r="A86" s="15"/>
      <c r="B86" s="15"/>
      <c r="C86" s="15"/>
      <c r="D86" s="15"/>
      <c r="E86" s="29"/>
      <c r="F86" s="29"/>
      <c r="G86" s="35"/>
      <c r="H86" s="15"/>
      <c r="I86" s="15"/>
      <c r="J86" s="15"/>
      <c r="K86" s="15"/>
      <c r="L86" s="15"/>
      <c r="M86" s="15"/>
    </row>
    <row r="87" ht="25.5" customHeight="1">
      <c r="A87" s="15"/>
      <c r="B87" s="15"/>
      <c r="C87" s="15"/>
      <c r="D87" s="15"/>
      <c r="E87" s="29"/>
      <c r="F87" s="29"/>
      <c r="G87" s="35"/>
      <c r="H87" s="15"/>
      <c r="I87" s="15"/>
      <c r="J87" s="15"/>
      <c r="K87" s="15"/>
      <c r="L87" s="15"/>
      <c r="M87" s="15"/>
    </row>
    <row r="88" ht="25.5" customHeight="1">
      <c r="A88" s="15"/>
      <c r="B88" s="15"/>
      <c r="C88" s="15"/>
      <c r="D88" s="15"/>
      <c r="E88" s="29"/>
      <c r="F88" s="29"/>
      <c r="G88" s="35"/>
      <c r="H88" s="15"/>
      <c r="I88" s="15"/>
      <c r="J88" s="15"/>
      <c r="K88" s="15"/>
      <c r="L88" s="15"/>
      <c r="M88" s="15"/>
    </row>
    <row r="89" ht="25.5" customHeight="1">
      <c r="A89" s="15"/>
      <c r="B89" s="15"/>
      <c r="C89" s="15"/>
      <c r="D89" s="15"/>
      <c r="E89" s="29"/>
      <c r="F89" s="29"/>
      <c r="G89" s="35"/>
      <c r="H89" s="15"/>
      <c r="I89" s="15"/>
      <c r="J89" s="15"/>
      <c r="K89" s="15"/>
      <c r="L89" s="15"/>
      <c r="M89" s="15"/>
    </row>
    <row r="90" ht="25.5" customHeight="1">
      <c r="A90" s="15"/>
      <c r="B90" s="15"/>
      <c r="C90" s="15"/>
      <c r="D90" s="15"/>
      <c r="E90" s="29"/>
      <c r="F90" s="29"/>
      <c r="G90" s="35"/>
      <c r="H90" s="15"/>
      <c r="I90" s="15"/>
      <c r="J90" s="15"/>
      <c r="K90" s="15"/>
      <c r="L90" s="15"/>
      <c r="M90" s="15"/>
    </row>
    <row r="91" ht="25.5" customHeight="1">
      <c r="A91" s="15"/>
      <c r="B91" s="15"/>
      <c r="C91" s="15"/>
      <c r="D91" s="15"/>
      <c r="E91" s="29"/>
      <c r="F91" s="29"/>
      <c r="G91" s="35"/>
      <c r="H91" s="15"/>
      <c r="I91" s="15"/>
      <c r="J91" s="15"/>
      <c r="K91" s="15"/>
      <c r="L91" s="15"/>
      <c r="M91" s="15"/>
    </row>
    <row r="92" ht="25.5" customHeight="1">
      <c r="A92" s="15"/>
      <c r="B92" s="15"/>
      <c r="C92" s="15"/>
      <c r="D92" s="15"/>
      <c r="E92" s="29"/>
      <c r="F92" s="29"/>
      <c r="G92" s="35"/>
      <c r="H92" s="15"/>
      <c r="I92" s="15"/>
      <c r="J92" s="15"/>
      <c r="K92" s="15"/>
      <c r="L92" s="15"/>
      <c r="M92" s="15"/>
    </row>
    <row r="93" ht="25.5" customHeight="1">
      <c r="A93" s="15"/>
      <c r="B93" s="15"/>
      <c r="C93" s="15"/>
      <c r="D93" s="15"/>
      <c r="E93" s="29"/>
      <c r="F93" s="29"/>
      <c r="G93" s="35"/>
      <c r="H93" s="15"/>
      <c r="I93" s="15"/>
      <c r="J93" s="15"/>
      <c r="K93" s="15"/>
      <c r="L93" s="15"/>
      <c r="M93" s="15"/>
    </row>
    <row r="94" ht="25.5" customHeight="1">
      <c r="A94" s="15"/>
      <c r="B94" s="15"/>
      <c r="C94" s="15"/>
      <c r="D94" s="15"/>
      <c r="E94" s="29"/>
      <c r="F94" s="29"/>
      <c r="G94" s="35"/>
      <c r="H94" s="15"/>
      <c r="I94" s="15"/>
      <c r="J94" s="15"/>
      <c r="K94" s="15"/>
      <c r="L94" s="15"/>
      <c r="M94" s="15"/>
    </row>
    <row r="95" ht="25.5" customHeight="1">
      <c r="A95" s="15"/>
      <c r="B95" s="15"/>
      <c r="C95" s="15"/>
      <c r="D95" s="15"/>
      <c r="E95" s="29"/>
      <c r="F95" s="29"/>
      <c r="G95" s="35"/>
      <c r="H95" s="15"/>
      <c r="I95" s="15"/>
      <c r="J95" s="15"/>
      <c r="K95" s="15"/>
      <c r="L95" s="15"/>
      <c r="M95" s="15"/>
    </row>
    <row r="96" ht="25.5" customHeight="1">
      <c r="A96" s="15"/>
      <c r="B96" s="15"/>
      <c r="C96" s="15"/>
      <c r="D96" s="15"/>
      <c r="E96" s="29"/>
      <c r="F96" s="29"/>
      <c r="G96" s="35"/>
      <c r="H96" s="15"/>
      <c r="I96" s="15"/>
      <c r="J96" s="15"/>
      <c r="K96" s="15"/>
      <c r="L96" s="15"/>
      <c r="M96" s="15"/>
    </row>
    <row r="97" ht="25.5" customHeight="1">
      <c r="A97" s="15"/>
      <c r="B97" s="15"/>
      <c r="C97" s="15"/>
      <c r="D97" s="15"/>
      <c r="E97" s="29"/>
      <c r="F97" s="29"/>
      <c r="G97" s="35"/>
      <c r="H97" s="15"/>
      <c r="I97" s="15"/>
      <c r="J97" s="15"/>
      <c r="K97" s="15"/>
      <c r="L97" s="15"/>
      <c r="M97" s="15"/>
    </row>
    <row r="98" ht="25.5" customHeight="1">
      <c r="A98" s="15"/>
      <c r="B98" s="15"/>
      <c r="C98" s="15"/>
      <c r="D98" s="15"/>
      <c r="E98" s="29"/>
      <c r="F98" s="29"/>
      <c r="G98" s="35"/>
      <c r="H98" s="15"/>
      <c r="I98" s="15"/>
      <c r="J98" s="15"/>
      <c r="K98" s="15"/>
      <c r="L98" s="15"/>
      <c r="M98" s="15"/>
    </row>
    <row r="99" ht="25.5" customHeight="1">
      <c r="A99" s="15"/>
      <c r="B99" s="15"/>
      <c r="C99" s="15"/>
      <c r="D99" s="15"/>
      <c r="E99" s="29"/>
      <c r="F99" s="29"/>
      <c r="G99" s="35"/>
      <c r="H99" s="15"/>
      <c r="I99" s="15"/>
      <c r="J99" s="15"/>
      <c r="K99" s="15"/>
      <c r="L99" s="15"/>
      <c r="M99" s="15"/>
    </row>
    <row r="100" ht="25.5" customHeight="1">
      <c r="A100" s="15"/>
      <c r="B100" s="15"/>
      <c r="C100" s="15"/>
      <c r="D100" s="15"/>
      <c r="E100" s="29"/>
      <c r="F100" s="29"/>
      <c r="G100" s="35"/>
      <c r="H100" s="15"/>
      <c r="I100" s="15"/>
      <c r="J100" s="15"/>
      <c r="K100" s="15"/>
      <c r="L100" s="15"/>
      <c r="M100" s="15"/>
    </row>
    <row r="101" ht="25.5" customHeight="1">
      <c r="A101" s="15"/>
      <c r="B101" s="15"/>
      <c r="C101" s="15"/>
      <c r="D101" s="15"/>
      <c r="E101" s="29"/>
      <c r="F101" s="29"/>
      <c r="G101" s="35"/>
      <c r="H101" s="15"/>
      <c r="I101" s="15"/>
      <c r="J101" s="15"/>
      <c r="K101" s="15"/>
      <c r="L101" s="15"/>
      <c r="M101" s="15"/>
    </row>
    <row r="102" ht="25.5" customHeight="1">
      <c r="A102" s="15"/>
      <c r="B102" s="15"/>
      <c r="C102" s="15"/>
      <c r="D102" s="15"/>
      <c r="E102" s="29"/>
      <c r="F102" s="29"/>
      <c r="G102" s="35"/>
      <c r="H102" s="15"/>
      <c r="I102" s="15"/>
      <c r="J102" s="15"/>
      <c r="K102" s="15"/>
      <c r="L102" s="15"/>
      <c r="M102" s="15"/>
    </row>
    <row r="103" ht="25.5" customHeight="1">
      <c r="A103" s="15"/>
      <c r="B103" s="15"/>
      <c r="C103" s="15"/>
      <c r="D103" s="15"/>
      <c r="E103" s="29"/>
      <c r="F103" s="29"/>
      <c r="G103" s="35"/>
      <c r="H103" s="15"/>
      <c r="I103" s="15"/>
      <c r="J103" s="15"/>
      <c r="K103" s="15"/>
      <c r="L103" s="15"/>
      <c r="M103" s="15"/>
    </row>
    <row r="104" ht="25.5" customHeight="1">
      <c r="A104" s="15"/>
      <c r="B104" s="15"/>
      <c r="C104" s="15"/>
      <c r="D104" s="15"/>
      <c r="E104" s="29"/>
      <c r="F104" s="29"/>
      <c r="G104" s="35"/>
      <c r="H104" s="15"/>
      <c r="I104" s="15"/>
      <c r="J104" s="15"/>
      <c r="K104" s="15"/>
      <c r="L104" s="15"/>
      <c r="M104" s="15"/>
    </row>
    <row r="105" ht="25.5" customHeight="1">
      <c r="A105" s="15"/>
      <c r="B105" s="15"/>
      <c r="C105" s="15"/>
      <c r="D105" s="15"/>
      <c r="E105" s="29"/>
      <c r="F105" s="29"/>
      <c r="G105" s="35"/>
      <c r="H105" s="15"/>
      <c r="I105" s="15"/>
      <c r="J105" s="15"/>
      <c r="K105" s="15"/>
      <c r="L105" s="15"/>
      <c r="M105" s="15"/>
    </row>
    <row r="106" ht="25.5" customHeight="1">
      <c r="A106" s="15"/>
      <c r="B106" s="15"/>
      <c r="C106" s="15"/>
      <c r="D106" s="15"/>
      <c r="E106" s="29"/>
      <c r="F106" s="29"/>
      <c r="G106" s="35"/>
      <c r="H106" s="15"/>
      <c r="I106" s="15"/>
      <c r="J106" s="15"/>
      <c r="K106" s="15"/>
      <c r="L106" s="15"/>
      <c r="M106" s="15"/>
    </row>
    <row r="107" ht="15.75" customHeight="1">
      <c r="A107" s="15"/>
      <c r="B107" s="15"/>
      <c r="C107" s="15"/>
      <c r="D107" s="15"/>
      <c r="E107" s="29"/>
      <c r="F107" s="29"/>
      <c r="G107" s="35"/>
      <c r="H107" s="15"/>
      <c r="I107" s="15"/>
      <c r="J107" s="15"/>
      <c r="K107" s="15"/>
      <c r="L107" s="15"/>
      <c r="M107" s="15"/>
    </row>
    <row r="108" ht="15.75" customHeight="1"/>
    <row r="109" ht="15.75" customHeight="1">
      <c r="A109" s="50"/>
    </row>
    <row r="110" ht="15.75" customHeight="1">
      <c r="A110" s="51" t="s">
        <v>322</v>
      </c>
    </row>
    <row r="111" ht="15.75" customHeight="1">
      <c r="A111" s="53" t="s">
        <v>499</v>
      </c>
    </row>
    <row r="112" ht="15.75" customHeight="1">
      <c r="A112" s="53" t="s">
        <v>500</v>
      </c>
    </row>
    <row r="113" ht="15.75" customHeight="1">
      <c r="A113" s="53" t="s">
        <v>501</v>
      </c>
    </row>
    <row r="114" ht="15.75" customHeight="1">
      <c r="A114" s="53" t="s">
        <v>502</v>
      </c>
    </row>
    <row r="115" ht="15.75" customHeight="1">
      <c r="A115" s="53" t="s">
        <v>503</v>
      </c>
    </row>
    <row r="116" ht="15.75" customHeight="1">
      <c r="A116" s="53" t="s">
        <v>504</v>
      </c>
    </row>
    <row r="117" ht="15.75" customHeight="1">
      <c r="A117" s="53" t="s">
        <v>506</v>
      </c>
    </row>
    <row r="118" ht="15.75" customHeight="1">
      <c r="A118" s="53" t="s">
        <v>507</v>
      </c>
    </row>
    <row r="119" ht="15.75" customHeight="1">
      <c r="A119" s="53" t="s">
        <v>509</v>
      </c>
    </row>
    <row r="120" ht="15.75" customHeight="1">
      <c r="A120" s="53" t="s">
        <v>510</v>
      </c>
    </row>
    <row r="121" ht="15.75" customHeight="1">
      <c r="A121" s="53" t="s">
        <v>512</v>
      </c>
    </row>
    <row r="122" ht="27.75" customHeight="1">
      <c r="A122" s="53" t="s">
        <v>514</v>
      </c>
    </row>
    <row r="123" ht="15.75" customHeight="1">
      <c r="A123" s="52" t="s">
        <v>516</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M1"/>
    <mergeCell ref="A2:M2"/>
    <mergeCell ref="A109:M109"/>
    <mergeCell ref="A110:M110"/>
    <mergeCell ref="A111:M111"/>
    <mergeCell ref="A112:M112"/>
    <mergeCell ref="A113:M113"/>
    <mergeCell ref="A121:M121"/>
    <mergeCell ref="A122:M122"/>
    <mergeCell ref="A114:M114"/>
    <mergeCell ref="A115:M115"/>
    <mergeCell ref="A116:M116"/>
    <mergeCell ref="A117:M117"/>
    <mergeCell ref="A118:M118"/>
    <mergeCell ref="A119:M119"/>
    <mergeCell ref="A120:M120"/>
  </mergeCells>
  <dataValidations>
    <dataValidation type="list" allowBlank="1" sqref="C7:C106">
      <formula1>"Percentage,Fixed amount"</formula1>
    </dataValidation>
    <dataValidation type="list" allowBlank="1" sqref="I7:I106">
      <formula1>"Invitees and Guests,Invitees only"</formula1>
    </dataValidation>
    <dataValidation type="list" allowBlank="1" sqref="H7:H106 J7:K106">
      <formula1>"Yes,No"</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4" width="26.0"/>
    <col customWidth="1" min="5" max="26" width="8.71"/>
  </cols>
  <sheetData>
    <row r="1" ht="27.75" customHeight="1">
      <c r="A1" s="1" t="s">
        <v>430</v>
      </c>
      <c r="B1" s="2"/>
      <c r="C1" s="2"/>
      <c r="D1" s="3"/>
    </row>
    <row r="2" ht="19.5" customHeight="1">
      <c r="A2" s="4" t="s">
        <v>431</v>
      </c>
    </row>
    <row r="4" ht="25.5" customHeight="1">
      <c r="A4" s="44" t="s">
        <v>432</v>
      </c>
      <c r="B4" s="44" t="s">
        <v>433</v>
      </c>
      <c r="C4" s="44" t="s">
        <v>336</v>
      </c>
      <c r="D4" s="44" t="s">
        <v>343</v>
      </c>
    </row>
    <row r="5" ht="33.75" customHeight="1">
      <c r="A5" s="5" t="s">
        <v>434</v>
      </c>
      <c r="B5" s="5" t="s">
        <v>435</v>
      </c>
      <c r="C5" s="5" t="s">
        <v>436</v>
      </c>
      <c r="D5" s="5" t="s">
        <v>170</v>
      </c>
    </row>
    <row r="6" ht="24.0" customHeight="1">
      <c r="A6" s="45" t="s">
        <v>437</v>
      </c>
      <c r="B6" s="45" t="s">
        <v>438</v>
      </c>
      <c r="C6" s="45" t="s">
        <v>438</v>
      </c>
      <c r="D6" s="45" t="s">
        <v>438</v>
      </c>
    </row>
    <row r="7" ht="25.5" customHeight="1">
      <c r="A7" s="47" t="s">
        <v>439</v>
      </c>
      <c r="B7" s="47" t="s">
        <v>440</v>
      </c>
      <c r="C7" s="47" t="s">
        <v>441</v>
      </c>
      <c r="D7" s="47" t="s">
        <v>442</v>
      </c>
    </row>
    <row r="8" ht="25.5" customHeight="1">
      <c r="A8" s="15"/>
      <c r="B8" s="15"/>
      <c r="C8" s="15"/>
      <c r="D8" s="35"/>
    </row>
    <row r="9" ht="25.5" customHeight="1">
      <c r="A9" s="15"/>
      <c r="B9" s="15"/>
      <c r="C9" s="15"/>
      <c r="D9" s="35"/>
    </row>
    <row r="10" ht="25.5" customHeight="1">
      <c r="A10" s="15"/>
      <c r="B10" s="15"/>
      <c r="C10" s="15"/>
      <c r="D10" s="35"/>
    </row>
    <row r="11" ht="25.5" customHeight="1">
      <c r="A11" s="15"/>
      <c r="B11" s="15"/>
      <c r="C11" s="15"/>
      <c r="D11" s="35"/>
    </row>
    <row r="12" ht="25.5" customHeight="1">
      <c r="A12" s="15"/>
      <c r="B12" s="15"/>
      <c r="C12" s="15"/>
      <c r="D12" s="35"/>
    </row>
    <row r="13" ht="25.5" customHeight="1">
      <c r="A13" s="15"/>
      <c r="B13" s="15"/>
      <c r="C13" s="15"/>
      <c r="D13" s="35"/>
    </row>
    <row r="14" ht="25.5" customHeight="1">
      <c r="A14" s="15"/>
      <c r="B14" s="15"/>
      <c r="C14" s="15"/>
      <c r="D14" s="35"/>
    </row>
    <row r="15" ht="25.5" customHeight="1">
      <c r="A15" s="15"/>
      <c r="B15" s="15"/>
      <c r="C15" s="15"/>
      <c r="D15" s="35"/>
    </row>
    <row r="16" ht="25.5" customHeight="1">
      <c r="A16" s="15"/>
      <c r="B16" s="15"/>
      <c r="C16" s="15"/>
      <c r="D16" s="35"/>
    </row>
    <row r="17" ht="25.5" customHeight="1">
      <c r="A17" s="15"/>
      <c r="B17" s="15"/>
      <c r="C17" s="15"/>
      <c r="D17" s="35"/>
    </row>
    <row r="18" ht="25.5" customHeight="1">
      <c r="A18" s="15"/>
      <c r="B18" s="15"/>
      <c r="C18" s="15"/>
      <c r="D18" s="35"/>
    </row>
    <row r="19" ht="25.5" customHeight="1">
      <c r="A19" s="15"/>
      <c r="B19" s="15"/>
      <c r="C19" s="15"/>
      <c r="D19" s="35"/>
    </row>
    <row r="20" ht="25.5" customHeight="1">
      <c r="A20" s="15"/>
      <c r="B20" s="15"/>
      <c r="C20" s="15"/>
      <c r="D20" s="35"/>
    </row>
    <row r="21" ht="25.5" customHeight="1">
      <c r="A21" s="15"/>
      <c r="B21" s="15"/>
      <c r="C21" s="15"/>
      <c r="D21" s="35"/>
    </row>
    <row r="22" ht="25.5" customHeight="1">
      <c r="A22" s="15"/>
      <c r="B22" s="15"/>
      <c r="C22" s="15"/>
      <c r="D22" s="35"/>
    </row>
    <row r="23" ht="25.5" customHeight="1">
      <c r="A23" s="15"/>
      <c r="B23" s="15"/>
      <c r="C23" s="15"/>
      <c r="D23" s="35"/>
    </row>
    <row r="24" ht="25.5" customHeight="1">
      <c r="A24" s="15"/>
      <c r="B24" s="15"/>
      <c r="C24" s="15"/>
      <c r="D24" s="35"/>
    </row>
    <row r="25" ht="25.5" customHeight="1">
      <c r="A25" s="15"/>
      <c r="B25" s="15"/>
      <c r="C25" s="15"/>
      <c r="D25" s="35"/>
    </row>
    <row r="26" ht="25.5" customHeight="1">
      <c r="A26" s="15"/>
      <c r="B26" s="15"/>
      <c r="C26" s="15"/>
      <c r="D26" s="35"/>
    </row>
    <row r="27" ht="25.5" customHeight="1">
      <c r="A27" s="15"/>
      <c r="B27" s="15"/>
      <c r="C27" s="15"/>
      <c r="D27" s="35"/>
    </row>
    <row r="28" ht="25.5" customHeight="1">
      <c r="A28" s="15"/>
      <c r="B28" s="15"/>
      <c r="C28" s="15"/>
      <c r="D28" s="35"/>
    </row>
    <row r="29" ht="25.5" customHeight="1">
      <c r="A29" s="15"/>
      <c r="B29" s="15"/>
      <c r="C29" s="15"/>
      <c r="D29" s="35"/>
    </row>
    <row r="30" ht="25.5" customHeight="1">
      <c r="A30" s="15"/>
      <c r="B30" s="15"/>
      <c r="C30" s="15"/>
      <c r="D30" s="35"/>
    </row>
    <row r="31" ht="25.5" customHeight="1">
      <c r="A31" s="15"/>
      <c r="B31" s="15"/>
      <c r="C31" s="15"/>
      <c r="D31" s="35"/>
    </row>
    <row r="32" ht="25.5" customHeight="1">
      <c r="A32" s="15"/>
      <c r="B32" s="15"/>
      <c r="C32" s="15"/>
      <c r="D32" s="35"/>
    </row>
    <row r="33" ht="25.5" customHeight="1">
      <c r="A33" s="15"/>
      <c r="B33" s="15"/>
      <c r="C33" s="15"/>
      <c r="D33" s="35"/>
    </row>
    <row r="34" ht="25.5" customHeight="1">
      <c r="A34" s="15"/>
      <c r="B34" s="15"/>
      <c r="C34" s="15"/>
      <c r="D34" s="35"/>
    </row>
    <row r="35" ht="25.5" customHeight="1">
      <c r="A35" s="15"/>
      <c r="B35" s="15"/>
      <c r="C35" s="15"/>
      <c r="D35" s="35"/>
    </row>
    <row r="36" ht="25.5" customHeight="1">
      <c r="A36" s="15"/>
      <c r="B36" s="15"/>
      <c r="C36" s="15"/>
      <c r="D36" s="35"/>
    </row>
    <row r="37" ht="25.5" customHeight="1">
      <c r="A37" s="15"/>
      <c r="B37" s="15"/>
      <c r="C37" s="15"/>
      <c r="D37" s="35"/>
    </row>
    <row r="38" ht="25.5" customHeight="1">
      <c r="A38" s="15"/>
      <c r="B38" s="15"/>
      <c r="C38" s="15"/>
      <c r="D38" s="35"/>
    </row>
    <row r="39" ht="25.5" customHeight="1">
      <c r="A39" s="15"/>
      <c r="B39" s="15"/>
      <c r="C39" s="15"/>
      <c r="D39" s="35"/>
    </row>
    <row r="40" ht="25.5" customHeight="1">
      <c r="A40" s="15"/>
      <c r="B40" s="15"/>
      <c r="C40" s="15"/>
      <c r="D40" s="35"/>
    </row>
    <row r="41" ht="25.5" customHeight="1">
      <c r="A41" s="15"/>
      <c r="B41" s="15"/>
      <c r="C41" s="15"/>
      <c r="D41" s="35"/>
    </row>
    <row r="42" ht="25.5" customHeight="1">
      <c r="A42" s="15"/>
      <c r="B42" s="15"/>
      <c r="C42" s="15"/>
      <c r="D42" s="35"/>
    </row>
    <row r="43" ht="25.5" customHeight="1">
      <c r="A43" s="15"/>
      <c r="B43" s="15"/>
      <c r="C43" s="15"/>
      <c r="D43" s="35"/>
    </row>
    <row r="44" ht="25.5" customHeight="1">
      <c r="A44" s="15"/>
      <c r="B44" s="15"/>
      <c r="C44" s="15"/>
      <c r="D44" s="35"/>
    </row>
    <row r="45" ht="25.5" customHeight="1">
      <c r="A45" s="15"/>
      <c r="B45" s="15"/>
      <c r="C45" s="15"/>
      <c r="D45" s="35"/>
    </row>
    <row r="46" ht="25.5" customHeight="1">
      <c r="A46" s="15"/>
      <c r="B46" s="15"/>
      <c r="C46" s="15"/>
      <c r="D46" s="35"/>
    </row>
    <row r="47" ht="25.5" customHeight="1">
      <c r="A47" s="15"/>
      <c r="B47" s="15"/>
      <c r="C47" s="15"/>
      <c r="D47" s="35"/>
    </row>
    <row r="48" ht="25.5" customHeight="1">
      <c r="A48" s="15"/>
      <c r="B48" s="15"/>
      <c r="C48" s="15"/>
      <c r="D48" s="35"/>
    </row>
    <row r="49" ht="25.5" customHeight="1">
      <c r="A49" s="15"/>
      <c r="B49" s="15"/>
      <c r="C49" s="15"/>
      <c r="D49" s="35"/>
    </row>
    <row r="50" ht="25.5" customHeight="1">
      <c r="A50" s="15"/>
      <c r="B50" s="15"/>
      <c r="C50" s="15"/>
      <c r="D50" s="35"/>
    </row>
    <row r="51" ht="25.5" customHeight="1">
      <c r="A51" s="15"/>
      <c r="B51" s="15"/>
      <c r="C51" s="15"/>
      <c r="D51" s="35"/>
    </row>
    <row r="52" ht="25.5" customHeight="1">
      <c r="A52" s="15"/>
      <c r="B52" s="15"/>
      <c r="C52" s="15"/>
      <c r="D52" s="35"/>
    </row>
    <row r="53" ht="25.5" customHeight="1">
      <c r="A53" s="15"/>
      <c r="B53" s="15"/>
      <c r="C53" s="15"/>
      <c r="D53" s="35"/>
    </row>
    <row r="54" ht="25.5" customHeight="1">
      <c r="A54" s="15"/>
      <c r="B54" s="15"/>
      <c r="C54" s="15"/>
      <c r="D54" s="35"/>
    </row>
    <row r="55" ht="25.5" customHeight="1">
      <c r="A55" s="15"/>
      <c r="B55" s="15"/>
      <c r="C55" s="15"/>
      <c r="D55" s="35"/>
    </row>
    <row r="56" ht="25.5" customHeight="1">
      <c r="A56" s="15"/>
      <c r="B56" s="15"/>
      <c r="C56" s="15"/>
      <c r="D56" s="35"/>
    </row>
    <row r="57" ht="15.75" customHeight="1">
      <c r="A57" s="15"/>
      <c r="B57" s="15"/>
      <c r="C57" s="15"/>
      <c r="D57" s="35"/>
    </row>
    <row r="58" ht="15.75" customHeight="1"/>
    <row r="59" ht="15.75" customHeight="1">
      <c r="A59" s="50"/>
    </row>
    <row r="60" ht="15.75" customHeight="1">
      <c r="A60" s="51" t="s">
        <v>322</v>
      </c>
    </row>
    <row r="61" ht="15.75" customHeight="1">
      <c r="A61" s="64" t="s">
        <v>474</v>
      </c>
    </row>
    <row r="62" ht="15.75" customHeight="1">
      <c r="A62" s="64" t="s">
        <v>475</v>
      </c>
    </row>
    <row r="63" ht="15.75" customHeight="1">
      <c r="A63" s="64" t="s">
        <v>476</v>
      </c>
    </row>
    <row r="64" ht="15.75" customHeight="1">
      <c r="A64" s="64" t="s">
        <v>477</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59:D59"/>
    <mergeCell ref="A60:D60"/>
    <mergeCell ref="A61:D61"/>
    <mergeCell ref="A62:D62"/>
    <mergeCell ref="A63:D6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1" width="26.0"/>
    <col customWidth="1" min="12" max="26" width="8.71"/>
  </cols>
  <sheetData>
    <row r="1" ht="27.75" customHeight="1">
      <c r="A1" s="1" t="s">
        <v>443</v>
      </c>
      <c r="B1" s="2"/>
      <c r="C1" s="2"/>
      <c r="D1" s="2"/>
      <c r="E1" s="2"/>
      <c r="F1" s="2"/>
      <c r="G1" s="2"/>
      <c r="H1" s="2"/>
      <c r="I1" s="2"/>
      <c r="J1" s="2"/>
      <c r="K1" s="3"/>
    </row>
    <row r="2" ht="19.5" customHeight="1">
      <c r="A2" s="4" t="s">
        <v>444</v>
      </c>
    </row>
    <row r="4" ht="25.5" customHeight="1">
      <c r="A4" s="44" t="s">
        <v>445</v>
      </c>
      <c r="B4" s="44" t="s">
        <v>446</v>
      </c>
      <c r="C4" s="44" t="s">
        <v>447</v>
      </c>
      <c r="D4" s="44" t="s">
        <v>448</v>
      </c>
      <c r="E4" s="44" t="s">
        <v>449</v>
      </c>
      <c r="F4" s="44" t="s">
        <v>450</v>
      </c>
      <c r="G4" s="44" t="s">
        <v>451</v>
      </c>
      <c r="H4" s="44" t="s">
        <v>452</v>
      </c>
      <c r="I4" s="44" t="s">
        <v>453</v>
      </c>
      <c r="J4" s="44" t="s">
        <v>454</v>
      </c>
      <c r="K4" s="44" t="s">
        <v>455</v>
      </c>
    </row>
    <row r="5" ht="33.75" customHeight="1">
      <c r="A5" s="5" t="s">
        <v>305</v>
      </c>
      <c r="B5" s="5" t="s">
        <v>456</v>
      </c>
      <c r="C5" s="5" t="s">
        <v>457</v>
      </c>
      <c r="D5" s="5" t="s">
        <v>458</v>
      </c>
      <c r="E5" s="5" t="s">
        <v>459</v>
      </c>
      <c r="F5" s="5" t="s">
        <v>460</v>
      </c>
      <c r="G5" s="5" t="s">
        <v>461</v>
      </c>
      <c r="H5" s="5" t="s">
        <v>462</v>
      </c>
      <c r="I5" s="5" t="s">
        <v>463</v>
      </c>
      <c r="J5" s="5" t="s">
        <v>299</v>
      </c>
      <c r="K5" s="5" t="s">
        <v>302</v>
      </c>
    </row>
    <row r="6" ht="24.0" customHeight="1">
      <c r="A6" s="45" t="s">
        <v>464</v>
      </c>
      <c r="B6" s="46"/>
      <c r="C6" s="46"/>
      <c r="D6" s="46"/>
      <c r="E6" s="46"/>
      <c r="F6" s="46"/>
      <c r="G6" s="46"/>
      <c r="H6" s="46"/>
      <c r="I6" s="46"/>
      <c r="J6" s="45" t="s">
        <v>465</v>
      </c>
      <c r="K6" s="45" t="s">
        <v>466</v>
      </c>
    </row>
    <row r="7" ht="25.5" customHeight="1">
      <c r="A7" s="47" t="s">
        <v>467</v>
      </c>
      <c r="B7" s="47" t="s">
        <v>468</v>
      </c>
      <c r="C7" s="47" t="s">
        <v>469</v>
      </c>
      <c r="D7" s="47" t="s">
        <v>470</v>
      </c>
      <c r="E7" s="47" t="s">
        <v>471</v>
      </c>
      <c r="F7" s="47" t="s">
        <v>472</v>
      </c>
      <c r="G7" s="47" t="s">
        <v>150</v>
      </c>
      <c r="H7" s="47" t="s">
        <v>358</v>
      </c>
      <c r="I7" s="47" t="s">
        <v>473</v>
      </c>
      <c r="J7" s="47"/>
      <c r="K7" s="47"/>
    </row>
    <row r="8" ht="25.5" customHeight="1">
      <c r="A8" s="15"/>
      <c r="B8" s="15"/>
      <c r="C8" s="15"/>
      <c r="D8" s="15"/>
      <c r="E8" s="15"/>
      <c r="F8" s="15"/>
      <c r="G8" s="15"/>
      <c r="H8" s="15"/>
      <c r="I8" s="15"/>
      <c r="J8" s="15"/>
      <c r="K8" s="15"/>
    </row>
    <row r="9" ht="25.5" customHeight="1">
      <c r="A9" s="15"/>
      <c r="B9" s="15"/>
      <c r="C9" s="15"/>
      <c r="D9" s="15"/>
      <c r="E9" s="15"/>
      <c r="F9" s="15"/>
      <c r="G9" s="15"/>
      <c r="H9" s="15"/>
      <c r="I9" s="15"/>
      <c r="J9" s="15"/>
      <c r="K9" s="15"/>
    </row>
    <row r="10" ht="25.5" customHeight="1">
      <c r="A10" s="15"/>
      <c r="B10" s="15"/>
      <c r="C10" s="15"/>
      <c r="D10" s="15"/>
      <c r="E10" s="15"/>
      <c r="F10" s="15"/>
      <c r="G10" s="15"/>
      <c r="H10" s="15"/>
      <c r="I10" s="15"/>
      <c r="J10" s="15"/>
      <c r="K10" s="15"/>
    </row>
    <row r="11" ht="25.5" customHeight="1">
      <c r="A11" s="15"/>
      <c r="B11" s="15"/>
      <c r="C11" s="15"/>
      <c r="D11" s="15"/>
      <c r="E11" s="15"/>
      <c r="F11" s="15"/>
      <c r="G11" s="15"/>
      <c r="H11" s="15"/>
      <c r="I11" s="15"/>
      <c r="J11" s="15"/>
      <c r="K11" s="15"/>
    </row>
    <row r="12" ht="25.5" customHeight="1">
      <c r="A12" s="15"/>
      <c r="B12" s="15"/>
      <c r="C12" s="15"/>
      <c r="D12" s="15"/>
      <c r="E12" s="15"/>
      <c r="F12" s="15"/>
      <c r="G12" s="15"/>
      <c r="H12" s="15"/>
      <c r="I12" s="15"/>
      <c r="J12" s="15"/>
      <c r="K12" s="15"/>
    </row>
    <row r="13" ht="25.5" customHeight="1">
      <c r="A13" s="15"/>
      <c r="B13" s="15"/>
      <c r="C13" s="15"/>
      <c r="D13" s="15"/>
      <c r="E13" s="15"/>
      <c r="F13" s="15"/>
      <c r="G13" s="15"/>
      <c r="H13" s="15"/>
      <c r="I13" s="15"/>
      <c r="J13" s="15"/>
      <c r="K13" s="15"/>
    </row>
    <row r="14" ht="25.5" customHeight="1">
      <c r="A14" s="15"/>
      <c r="B14" s="15"/>
      <c r="C14" s="15"/>
      <c r="D14" s="15"/>
      <c r="E14" s="15"/>
      <c r="F14" s="15"/>
      <c r="G14" s="15"/>
      <c r="H14" s="15"/>
      <c r="I14" s="15"/>
      <c r="J14" s="15"/>
      <c r="K14" s="15"/>
    </row>
    <row r="15" ht="25.5" customHeight="1">
      <c r="A15" s="15"/>
      <c r="B15" s="15"/>
      <c r="C15" s="15"/>
      <c r="D15" s="15"/>
      <c r="E15" s="15"/>
      <c r="F15" s="15"/>
      <c r="G15" s="15"/>
      <c r="H15" s="15"/>
      <c r="I15" s="15"/>
      <c r="J15" s="15"/>
      <c r="K15" s="15"/>
    </row>
    <row r="16" ht="25.5" customHeight="1">
      <c r="A16" s="15"/>
      <c r="B16" s="15"/>
      <c r="C16" s="15"/>
      <c r="D16" s="15"/>
      <c r="E16" s="15"/>
      <c r="F16" s="15"/>
      <c r="G16" s="15"/>
      <c r="H16" s="15"/>
      <c r="I16" s="15"/>
      <c r="J16" s="15"/>
      <c r="K16" s="15"/>
    </row>
    <row r="17" ht="25.5" customHeight="1">
      <c r="A17" s="15"/>
      <c r="B17" s="15"/>
      <c r="C17" s="15"/>
      <c r="D17" s="15"/>
      <c r="E17" s="15"/>
      <c r="F17" s="15"/>
      <c r="G17" s="15"/>
      <c r="H17" s="15"/>
      <c r="I17" s="15"/>
      <c r="J17" s="15"/>
      <c r="K17" s="15"/>
    </row>
    <row r="18" ht="25.5" customHeight="1">
      <c r="A18" s="15"/>
      <c r="B18" s="15"/>
      <c r="C18" s="15"/>
      <c r="D18" s="15"/>
      <c r="E18" s="15"/>
      <c r="F18" s="15"/>
      <c r="G18" s="15"/>
      <c r="H18" s="15"/>
      <c r="I18" s="15"/>
      <c r="J18" s="15"/>
      <c r="K18" s="15"/>
    </row>
    <row r="19" ht="25.5" customHeight="1">
      <c r="A19" s="15"/>
      <c r="B19" s="15"/>
      <c r="C19" s="15"/>
      <c r="D19" s="15"/>
      <c r="E19" s="15"/>
      <c r="F19" s="15"/>
      <c r="G19" s="15"/>
      <c r="H19" s="15"/>
      <c r="I19" s="15"/>
      <c r="J19" s="15"/>
      <c r="K19" s="15"/>
    </row>
    <row r="20" ht="25.5" customHeight="1">
      <c r="A20" s="15"/>
      <c r="B20" s="15"/>
      <c r="C20" s="15"/>
      <c r="D20" s="15"/>
      <c r="E20" s="15"/>
      <c r="F20" s="15"/>
      <c r="G20" s="15"/>
      <c r="H20" s="15"/>
      <c r="I20" s="15"/>
      <c r="J20" s="15"/>
      <c r="K20" s="15"/>
    </row>
    <row r="21" ht="25.5" customHeight="1">
      <c r="A21" s="15"/>
      <c r="B21" s="15"/>
      <c r="C21" s="15"/>
      <c r="D21" s="15"/>
      <c r="E21" s="15"/>
      <c r="F21" s="15"/>
      <c r="G21" s="15"/>
      <c r="H21" s="15"/>
      <c r="I21" s="15"/>
      <c r="J21" s="15"/>
      <c r="K21" s="15"/>
    </row>
    <row r="22" ht="25.5" customHeight="1">
      <c r="A22" s="15"/>
      <c r="B22" s="15"/>
      <c r="C22" s="15"/>
      <c r="D22" s="15"/>
      <c r="E22" s="15"/>
      <c r="F22" s="15"/>
      <c r="G22" s="15"/>
      <c r="H22" s="15"/>
      <c r="I22" s="15"/>
      <c r="J22" s="15"/>
      <c r="K22" s="15"/>
    </row>
    <row r="23" ht="25.5" customHeight="1">
      <c r="A23" s="15"/>
      <c r="B23" s="15"/>
      <c r="C23" s="15"/>
      <c r="D23" s="15"/>
      <c r="E23" s="15"/>
      <c r="F23" s="15"/>
      <c r="G23" s="15"/>
      <c r="H23" s="15"/>
      <c r="I23" s="15"/>
      <c r="J23" s="15"/>
      <c r="K23" s="15"/>
    </row>
    <row r="24" ht="25.5" customHeight="1">
      <c r="A24" s="15"/>
      <c r="B24" s="15"/>
      <c r="C24" s="15"/>
      <c r="D24" s="15"/>
      <c r="E24" s="15"/>
      <c r="F24" s="15"/>
      <c r="G24" s="15"/>
      <c r="H24" s="15"/>
      <c r="I24" s="15"/>
      <c r="J24" s="15"/>
      <c r="K24" s="15"/>
    </row>
    <row r="25" ht="25.5" customHeight="1">
      <c r="A25" s="15"/>
      <c r="B25" s="15"/>
      <c r="C25" s="15"/>
      <c r="D25" s="15"/>
      <c r="E25" s="15"/>
      <c r="F25" s="15"/>
      <c r="G25" s="15"/>
      <c r="H25" s="15"/>
      <c r="I25" s="15"/>
      <c r="J25" s="15"/>
      <c r="K25" s="15"/>
    </row>
    <row r="26" ht="25.5" customHeight="1">
      <c r="A26" s="15"/>
      <c r="B26" s="15"/>
      <c r="C26" s="15"/>
      <c r="D26" s="15"/>
      <c r="E26" s="15"/>
      <c r="F26" s="15"/>
      <c r="G26" s="15"/>
      <c r="H26" s="15"/>
      <c r="I26" s="15"/>
      <c r="J26" s="15"/>
      <c r="K26" s="15"/>
    </row>
    <row r="27" ht="25.5" customHeight="1">
      <c r="A27" s="15"/>
      <c r="B27" s="15"/>
      <c r="C27" s="15"/>
      <c r="D27" s="15"/>
      <c r="E27" s="15"/>
      <c r="F27" s="15"/>
      <c r="G27" s="15"/>
      <c r="H27" s="15"/>
      <c r="I27" s="15"/>
      <c r="J27" s="15"/>
      <c r="K27" s="15"/>
    </row>
    <row r="28" ht="25.5" customHeight="1">
      <c r="A28" s="15"/>
      <c r="B28" s="15"/>
      <c r="C28" s="15"/>
      <c r="D28" s="15"/>
      <c r="E28" s="15"/>
      <c r="F28" s="15"/>
      <c r="G28" s="15"/>
      <c r="H28" s="15"/>
      <c r="I28" s="15"/>
      <c r="J28" s="15"/>
      <c r="K28" s="15"/>
    </row>
    <row r="29" ht="25.5" customHeight="1">
      <c r="A29" s="15"/>
      <c r="B29" s="15"/>
      <c r="C29" s="15"/>
      <c r="D29" s="15"/>
      <c r="E29" s="15"/>
      <c r="F29" s="15"/>
      <c r="G29" s="15"/>
      <c r="H29" s="15"/>
      <c r="I29" s="15"/>
      <c r="J29" s="15"/>
      <c r="K29" s="15"/>
    </row>
    <row r="30" ht="25.5" customHeight="1">
      <c r="A30" s="15"/>
      <c r="B30" s="15"/>
      <c r="C30" s="15"/>
      <c r="D30" s="15"/>
      <c r="E30" s="15"/>
      <c r="F30" s="15"/>
      <c r="G30" s="15"/>
      <c r="H30" s="15"/>
      <c r="I30" s="15"/>
      <c r="J30" s="15"/>
      <c r="K30" s="15"/>
    </row>
    <row r="31" ht="25.5" customHeight="1">
      <c r="A31" s="15"/>
      <c r="B31" s="15"/>
      <c r="C31" s="15"/>
      <c r="D31" s="15"/>
      <c r="E31" s="15"/>
      <c r="F31" s="15"/>
      <c r="G31" s="15"/>
      <c r="H31" s="15"/>
      <c r="I31" s="15"/>
      <c r="J31" s="15"/>
      <c r="K31" s="15"/>
    </row>
    <row r="32" ht="25.5" customHeight="1">
      <c r="A32" s="15"/>
      <c r="B32" s="15"/>
      <c r="C32" s="15"/>
      <c r="D32" s="15"/>
      <c r="E32" s="15"/>
      <c r="F32" s="15"/>
      <c r="G32" s="15"/>
      <c r="H32" s="15"/>
      <c r="I32" s="15"/>
      <c r="J32" s="15"/>
      <c r="K32" s="15"/>
    </row>
    <row r="33" ht="25.5" customHeight="1">
      <c r="A33" s="15"/>
      <c r="B33" s="15"/>
      <c r="C33" s="15"/>
      <c r="D33" s="15"/>
      <c r="E33" s="15"/>
      <c r="F33" s="15"/>
      <c r="G33" s="15"/>
      <c r="H33" s="15"/>
      <c r="I33" s="15"/>
      <c r="J33" s="15"/>
      <c r="K33" s="15"/>
    </row>
    <row r="34" ht="25.5" customHeight="1">
      <c r="A34" s="15"/>
      <c r="B34" s="15"/>
      <c r="C34" s="15"/>
      <c r="D34" s="15"/>
      <c r="E34" s="15"/>
      <c r="F34" s="15"/>
      <c r="G34" s="15"/>
      <c r="H34" s="15"/>
      <c r="I34" s="15"/>
      <c r="J34" s="15"/>
      <c r="K34" s="15"/>
    </row>
    <row r="35" ht="25.5" customHeight="1">
      <c r="A35" s="15"/>
      <c r="B35" s="15"/>
      <c r="C35" s="15"/>
      <c r="D35" s="15"/>
      <c r="E35" s="15"/>
      <c r="F35" s="15"/>
      <c r="G35" s="15"/>
      <c r="H35" s="15"/>
      <c r="I35" s="15"/>
      <c r="J35" s="15"/>
      <c r="K35" s="15"/>
    </row>
    <row r="36" ht="25.5" customHeight="1">
      <c r="A36" s="15"/>
      <c r="B36" s="15"/>
      <c r="C36" s="15"/>
      <c r="D36" s="15"/>
      <c r="E36" s="15"/>
      <c r="F36" s="15"/>
      <c r="G36" s="15"/>
      <c r="H36" s="15"/>
      <c r="I36" s="15"/>
      <c r="J36" s="15"/>
      <c r="K36" s="15"/>
    </row>
    <row r="37" ht="25.5" customHeight="1">
      <c r="A37" s="15"/>
      <c r="B37" s="15"/>
      <c r="C37" s="15"/>
      <c r="D37" s="15"/>
      <c r="E37" s="15"/>
      <c r="F37" s="15"/>
      <c r="G37" s="15"/>
      <c r="H37" s="15"/>
      <c r="I37" s="15"/>
      <c r="J37" s="15"/>
      <c r="K37" s="15"/>
    </row>
    <row r="38" ht="25.5" customHeight="1">
      <c r="A38" s="15"/>
      <c r="B38" s="15"/>
      <c r="C38" s="15"/>
      <c r="D38" s="15"/>
      <c r="E38" s="15"/>
      <c r="F38" s="15"/>
      <c r="G38" s="15"/>
      <c r="H38" s="15"/>
      <c r="I38" s="15"/>
      <c r="J38" s="15"/>
      <c r="K38" s="15"/>
    </row>
    <row r="39" ht="25.5" customHeight="1">
      <c r="A39" s="15"/>
      <c r="B39" s="15"/>
      <c r="C39" s="15"/>
      <c r="D39" s="15"/>
      <c r="E39" s="15"/>
      <c r="F39" s="15"/>
      <c r="G39" s="15"/>
      <c r="H39" s="15"/>
      <c r="I39" s="15"/>
      <c r="J39" s="15"/>
      <c r="K39" s="15"/>
    </row>
    <row r="40" ht="25.5" customHeight="1">
      <c r="A40" s="15"/>
      <c r="B40" s="15"/>
      <c r="C40" s="15"/>
      <c r="D40" s="15"/>
      <c r="E40" s="15"/>
      <c r="F40" s="15"/>
      <c r="G40" s="15"/>
      <c r="H40" s="15"/>
      <c r="I40" s="15"/>
      <c r="J40" s="15"/>
      <c r="K40" s="15"/>
    </row>
    <row r="41" ht="25.5" customHeight="1">
      <c r="A41" s="15"/>
      <c r="B41" s="15"/>
      <c r="C41" s="15"/>
      <c r="D41" s="15"/>
      <c r="E41" s="15"/>
      <c r="F41" s="15"/>
      <c r="G41" s="15"/>
      <c r="H41" s="15"/>
      <c r="I41" s="15"/>
      <c r="J41" s="15"/>
      <c r="K41" s="15"/>
    </row>
    <row r="42" ht="25.5" customHeight="1">
      <c r="A42" s="15"/>
      <c r="B42" s="15"/>
      <c r="C42" s="15"/>
      <c r="D42" s="15"/>
      <c r="E42" s="15"/>
      <c r="F42" s="15"/>
      <c r="G42" s="15"/>
      <c r="H42" s="15"/>
      <c r="I42" s="15"/>
      <c r="J42" s="15"/>
      <c r="K42" s="15"/>
    </row>
    <row r="43" ht="25.5" customHeight="1">
      <c r="A43" s="15"/>
      <c r="B43" s="15"/>
      <c r="C43" s="15"/>
      <c r="D43" s="15"/>
      <c r="E43" s="15"/>
      <c r="F43" s="15"/>
      <c r="G43" s="15"/>
      <c r="H43" s="15"/>
      <c r="I43" s="15"/>
      <c r="J43" s="15"/>
      <c r="K43" s="15"/>
    </row>
    <row r="44" ht="25.5" customHeight="1">
      <c r="A44" s="15"/>
      <c r="B44" s="15"/>
      <c r="C44" s="15"/>
      <c r="D44" s="15"/>
      <c r="E44" s="15"/>
      <c r="F44" s="15"/>
      <c r="G44" s="15"/>
      <c r="H44" s="15"/>
      <c r="I44" s="15"/>
      <c r="J44" s="15"/>
      <c r="K44" s="15"/>
    </row>
    <row r="45" ht="25.5" customHeight="1">
      <c r="A45" s="15"/>
      <c r="B45" s="15"/>
      <c r="C45" s="15"/>
      <c r="D45" s="15"/>
      <c r="E45" s="15"/>
      <c r="F45" s="15"/>
      <c r="G45" s="15"/>
      <c r="H45" s="15"/>
      <c r="I45" s="15"/>
      <c r="J45" s="15"/>
      <c r="K45" s="15"/>
    </row>
    <row r="46" ht="25.5" customHeight="1">
      <c r="A46" s="15"/>
      <c r="B46" s="15"/>
      <c r="C46" s="15"/>
      <c r="D46" s="15"/>
      <c r="E46" s="15"/>
      <c r="F46" s="15"/>
      <c r="G46" s="15"/>
      <c r="H46" s="15"/>
      <c r="I46" s="15"/>
      <c r="J46" s="15"/>
      <c r="K46" s="15"/>
    </row>
    <row r="47" ht="25.5" customHeight="1">
      <c r="A47" s="15"/>
      <c r="B47" s="15"/>
      <c r="C47" s="15"/>
      <c r="D47" s="15"/>
      <c r="E47" s="15"/>
      <c r="F47" s="15"/>
      <c r="G47" s="15"/>
      <c r="H47" s="15"/>
      <c r="I47" s="15"/>
      <c r="J47" s="15"/>
      <c r="K47" s="15"/>
    </row>
    <row r="48" ht="25.5" customHeight="1">
      <c r="A48" s="15"/>
      <c r="B48" s="15"/>
      <c r="C48" s="15"/>
      <c r="D48" s="15"/>
      <c r="E48" s="15"/>
      <c r="F48" s="15"/>
      <c r="G48" s="15"/>
      <c r="H48" s="15"/>
      <c r="I48" s="15"/>
      <c r="J48" s="15"/>
      <c r="K48" s="15"/>
    </row>
    <row r="49" ht="25.5" customHeight="1">
      <c r="A49" s="15"/>
      <c r="B49" s="15"/>
      <c r="C49" s="15"/>
      <c r="D49" s="15"/>
      <c r="E49" s="15"/>
      <c r="F49" s="15"/>
      <c r="G49" s="15"/>
      <c r="H49" s="15"/>
      <c r="I49" s="15"/>
      <c r="J49" s="15"/>
      <c r="K49" s="15"/>
    </row>
    <row r="50" ht="25.5" customHeight="1">
      <c r="A50" s="15"/>
      <c r="B50" s="15"/>
      <c r="C50" s="15"/>
      <c r="D50" s="15"/>
      <c r="E50" s="15"/>
      <c r="F50" s="15"/>
      <c r="G50" s="15"/>
      <c r="H50" s="15"/>
      <c r="I50" s="15"/>
      <c r="J50" s="15"/>
      <c r="K50" s="15"/>
    </row>
    <row r="51" ht="25.5" customHeight="1">
      <c r="A51" s="15"/>
      <c r="B51" s="15"/>
      <c r="C51" s="15"/>
      <c r="D51" s="15"/>
      <c r="E51" s="15"/>
      <c r="F51" s="15"/>
      <c r="G51" s="15"/>
      <c r="H51" s="15"/>
      <c r="I51" s="15"/>
      <c r="J51" s="15"/>
      <c r="K51" s="15"/>
    </row>
    <row r="52" ht="25.5" customHeight="1">
      <c r="A52" s="15"/>
      <c r="B52" s="15"/>
      <c r="C52" s="15"/>
      <c r="D52" s="15"/>
      <c r="E52" s="15"/>
      <c r="F52" s="15"/>
      <c r="G52" s="15"/>
      <c r="H52" s="15"/>
      <c r="I52" s="15"/>
      <c r="J52" s="15"/>
      <c r="K52" s="15"/>
    </row>
    <row r="53" ht="25.5" customHeight="1">
      <c r="A53" s="15"/>
      <c r="B53" s="15"/>
      <c r="C53" s="15"/>
      <c r="D53" s="15"/>
      <c r="E53" s="15"/>
      <c r="F53" s="15"/>
      <c r="G53" s="15"/>
      <c r="H53" s="15"/>
      <c r="I53" s="15"/>
      <c r="J53" s="15"/>
      <c r="K53" s="15"/>
    </row>
    <row r="54" ht="25.5" customHeight="1">
      <c r="A54" s="15"/>
      <c r="B54" s="15"/>
      <c r="C54" s="15"/>
      <c r="D54" s="15"/>
      <c r="E54" s="15"/>
      <c r="F54" s="15"/>
      <c r="G54" s="15"/>
      <c r="H54" s="15"/>
      <c r="I54" s="15"/>
      <c r="J54" s="15"/>
      <c r="K54" s="15"/>
    </row>
    <row r="55" ht="25.5" customHeight="1">
      <c r="A55" s="15"/>
      <c r="B55" s="15"/>
      <c r="C55" s="15"/>
      <c r="D55" s="15"/>
      <c r="E55" s="15"/>
      <c r="F55" s="15"/>
      <c r="G55" s="15"/>
      <c r="H55" s="15"/>
      <c r="I55" s="15"/>
      <c r="J55" s="15"/>
      <c r="K55" s="15"/>
    </row>
    <row r="56" ht="25.5" customHeight="1">
      <c r="A56" s="15"/>
      <c r="B56" s="15"/>
      <c r="C56" s="15"/>
      <c r="D56" s="15"/>
      <c r="E56" s="15"/>
      <c r="F56" s="15"/>
      <c r="G56" s="15"/>
      <c r="H56" s="15"/>
      <c r="I56" s="15"/>
      <c r="J56" s="15"/>
      <c r="K56" s="15"/>
    </row>
    <row r="57" ht="25.5" customHeight="1">
      <c r="A57" s="15"/>
      <c r="B57" s="15"/>
      <c r="C57" s="15"/>
      <c r="D57" s="15"/>
      <c r="E57" s="15"/>
      <c r="F57" s="15"/>
      <c r="G57" s="15"/>
      <c r="H57" s="15"/>
      <c r="I57" s="15"/>
      <c r="J57" s="15"/>
      <c r="K57" s="15"/>
    </row>
    <row r="58" ht="25.5" customHeight="1">
      <c r="A58" s="15"/>
      <c r="B58" s="15"/>
      <c r="C58" s="15"/>
      <c r="D58" s="15"/>
      <c r="E58" s="15"/>
      <c r="F58" s="15"/>
      <c r="G58" s="15"/>
      <c r="H58" s="15"/>
      <c r="I58" s="15"/>
      <c r="J58" s="15"/>
      <c r="K58" s="15"/>
    </row>
    <row r="59" ht="25.5" customHeight="1">
      <c r="A59" s="15"/>
      <c r="B59" s="15"/>
      <c r="C59" s="15"/>
      <c r="D59" s="15"/>
      <c r="E59" s="15"/>
      <c r="F59" s="15"/>
      <c r="G59" s="15"/>
      <c r="H59" s="15"/>
      <c r="I59" s="15"/>
      <c r="J59" s="15"/>
      <c r="K59" s="15"/>
    </row>
    <row r="60" ht="25.5" customHeight="1">
      <c r="A60" s="15"/>
      <c r="B60" s="15"/>
      <c r="C60" s="15"/>
      <c r="D60" s="15"/>
      <c r="E60" s="15"/>
      <c r="F60" s="15"/>
      <c r="G60" s="15"/>
      <c r="H60" s="15"/>
      <c r="I60" s="15"/>
      <c r="J60" s="15"/>
      <c r="K60" s="15"/>
    </row>
    <row r="61" ht="25.5" customHeight="1">
      <c r="A61" s="15"/>
      <c r="B61" s="15"/>
      <c r="C61" s="15"/>
      <c r="D61" s="15"/>
      <c r="E61" s="15"/>
      <c r="F61" s="15"/>
      <c r="G61" s="15"/>
      <c r="H61" s="15"/>
      <c r="I61" s="15"/>
      <c r="J61" s="15"/>
      <c r="K61" s="15"/>
    </row>
    <row r="62" ht="25.5" customHeight="1">
      <c r="A62" s="15"/>
      <c r="B62" s="15"/>
      <c r="C62" s="15"/>
      <c r="D62" s="15"/>
      <c r="E62" s="15"/>
      <c r="F62" s="15"/>
      <c r="G62" s="15"/>
      <c r="H62" s="15"/>
      <c r="I62" s="15"/>
      <c r="J62" s="15"/>
      <c r="K62" s="15"/>
    </row>
    <row r="63" ht="25.5" customHeight="1">
      <c r="A63" s="15"/>
      <c r="B63" s="15"/>
      <c r="C63" s="15"/>
      <c r="D63" s="15"/>
      <c r="E63" s="15"/>
      <c r="F63" s="15"/>
      <c r="G63" s="15"/>
      <c r="H63" s="15"/>
      <c r="I63" s="15"/>
      <c r="J63" s="15"/>
      <c r="K63" s="15"/>
    </row>
    <row r="64" ht="25.5" customHeight="1">
      <c r="A64" s="15"/>
      <c r="B64" s="15"/>
      <c r="C64" s="15"/>
      <c r="D64" s="15"/>
      <c r="E64" s="15"/>
      <c r="F64" s="15"/>
      <c r="G64" s="15"/>
      <c r="H64" s="15"/>
      <c r="I64" s="15"/>
      <c r="J64" s="15"/>
      <c r="K64" s="15"/>
    </row>
    <row r="65" ht="25.5" customHeight="1">
      <c r="A65" s="15"/>
      <c r="B65" s="15"/>
      <c r="C65" s="15"/>
      <c r="D65" s="15"/>
      <c r="E65" s="15"/>
      <c r="F65" s="15"/>
      <c r="G65" s="15"/>
      <c r="H65" s="15"/>
      <c r="I65" s="15"/>
      <c r="J65" s="15"/>
      <c r="K65" s="15"/>
    </row>
    <row r="66" ht="25.5" customHeight="1">
      <c r="A66" s="15"/>
      <c r="B66" s="15"/>
      <c r="C66" s="15"/>
      <c r="D66" s="15"/>
      <c r="E66" s="15"/>
      <c r="F66" s="15"/>
      <c r="G66" s="15"/>
      <c r="H66" s="15"/>
      <c r="I66" s="15"/>
      <c r="J66" s="15"/>
      <c r="K66" s="15"/>
    </row>
    <row r="67" ht="25.5" customHeight="1">
      <c r="A67" s="15"/>
      <c r="B67" s="15"/>
      <c r="C67" s="15"/>
      <c r="D67" s="15"/>
      <c r="E67" s="15"/>
      <c r="F67" s="15"/>
      <c r="G67" s="15"/>
      <c r="H67" s="15"/>
      <c r="I67" s="15"/>
      <c r="J67" s="15"/>
      <c r="K67" s="15"/>
    </row>
    <row r="68" ht="25.5" customHeight="1">
      <c r="A68" s="15"/>
      <c r="B68" s="15"/>
      <c r="C68" s="15"/>
      <c r="D68" s="15"/>
      <c r="E68" s="15"/>
      <c r="F68" s="15"/>
      <c r="G68" s="15"/>
      <c r="H68" s="15"/>
      <c r="I68" s="15"/>
      <c r="J68" s="15"/>
      <c r="K68" s="15"/>
    </row>
    <row r="69" ht="25.5" customHeight="1">
      <c r="A69" s="15"/>
      <c r="B69" s="15"/>
      <c r="C69" s="15"/>
      <c r="D69" s="15"/>
      <c r="E69" s="15"/>
      <c r="F69" s="15"/>
      <c r="G69" s="15"/>
      <c r="H69" s="15"/>
      <c r="I69" s="15"/>
      <c r="J69" s="15"/>
      <c r="K69" s="15"/>
    </row>
    <row r="70" ht="25.5" customHeight="1">
      <c r="A70" s="15"/>
      <c r="B70" s="15"/>
      <c r="C70" s="15"/>
      <c r="D70" s="15"/>
      <c r="E70" s="15"/>
      <c r="F70" s="15"/>
      <c r="G70" s="15"/>
      <c r="H70" s="15"/>
      <c r="I70" s="15"/>
      <c r="J70" s="15"/>
      <c r="K70" s="15"/>
    </row>
    <row r="71" ht="25.5" customHeight="1">
      <c r="A71" s="15"/>
      <c r="B71" s="15"/>
      <c r="C71" s="15"/>
      <c r="D71" s="15"/>
      <c r="E71" s="15"/>
      <c r="F71" s="15"/>
      <c r="G71" s="15"/>
      <c r="H71" s="15"/>
      <c r="I71" s="15"/>
      <c r="J71" s="15"/>
      <c r="K71" s="15"/>
    </row>
    <row r="72" ht="25.5" customHeight="1">
      <c r="A72" s="15"/>
      <c r="B72" s="15"/>
      <c r="C72" s="15"/>
      <c r="D72" s="15"/>
      <c r="E72" s="15"/>
      <c r="F72" s="15"/>
      <c r="G72" s="15"/>
      <c r="H72" s="15"/>
      <c r="I72" s="15"/>
      <c r="J72" s="15"/>
      <c r="K72" s="15"/>
    </row>
    <row r="73" ht="25.5" customHeight="1">
      <c r="A73" s="15"/>
      <c r="B73" s="15"/>
      <c r="C73" s="15"/>
      <c r="D73" s="15"/>
      <c r="E73" s="15"/>
      <c r="F73" s="15"/>
      <c r="G73" s="15"/>
      <c r="H73" s="15"/>
      <c r="I73" s="15"/>
      <c r="J73" s="15"/>
      <c r="K73" s="15"/>
    </row>
    <row r="74" ht="25.5" customHeight="1">
      <c r="A74" s="15"/>
      <c r="B74" s="15"/>
      <c r="C74" s="15"/>
      <c r="D74" s="15"/>
      <c r="E74" s="15"/>
      <c r="F74" s="15"/>
      <c r="G74" s="15"/>
      <c r="H74" s="15"/>
      <c r="I74" s="15"/>
      <c r="J74" s="15"/>
      <c r="K74" s="15"/>
    </row>
    <row r="75" ht="25.5" customHeight="1">
      <c r="A75" s="15"/>
      <c r="B75" s="15"/>
      <c r="C75" s="15"/>
      <c r="D75" s="15"/>
      <c r="E75" s="15"/>
      <c r="F75" s="15"/>
      <c r="G75" s="15"/>
      <c r="H75" s="15"/>
      <c r="I75" s="15"/>
      <c r="J75" s="15"/>
      <c r="K75" s="15"/>
    </row>
    <row r="76" ht="25.5" customHeight="1">
      <c r="A76" s="15"/>
      <c r="B76" s="15"/>
      <c r="C76" s="15"/>
      <c r="D76" s="15"/>
      <c r="E76" s="15"/>
      <c r="F76" s="15"/>
      <c r="G76" s="15"/>
      <c r="H76" s="15"/>
      <c r="I76" s="15"/>
      <c r="J76" s="15"/>
      <c r="K76" s="15"/>
    </row>
    <row r="77" ht="25.5" customHeight="1">
      <c r="A77" s="15"/>
      <c r="B77" s="15"/>
      <c r="C77" s="15"/>
      <c r="D77" s="15"/>
      <c r="E77" s="15"/>
      <c r="F77" s="15"/>
      <c r="G77" s="15"/>
      <c r="H77" s="15"/>
      <c r="I77" s="15"/>
      <c r="J77" s="15"/>
      <c r="K77" s="15"/>
    </row>
    <row r="78" ht="25.5" customHeight="1">
      <c r="A78" s="15"/>
      <c r="B78" s="15"/>
      <c r="C78" s="15"/>
      <c r="D78" s="15"/>
      <c r="E78" s="15"/>
      <c r="F78" s="15"/>
      <c r="G78" s="15"/>
      <c r="H78" s="15"/>
      <c r="I78" s="15"/>
      <c r="J78" s="15"/>
      <c r="K78" s="15"/>
    </row>
    <row r="79" ht="25.5" customHeight="1">
      <c r="A79" s="15"/>
      <c r="B79" s="15"/>
      <c r="C79" s="15"/>
      <c r="D79" s="15"/>
      <c r="E79" s="15"/>
      <c r="F79" s="15"/>
      <c r="G79" s="15"/>
      <c r="H79" s="15"/>
      <c r="I79" s="15"/>
      <c r="J79" s="15"/>
      <c r="K79" s="15"/>
    </row>
    <row r="80" ht="25.5" customHeight="1">
      <c r="A80" s="15"/>
      <c r="B80" s="15"/>
      <c r="C80" s="15"/>
      <c r="D80" s="15"/>
      <c r="E80" s="15"/>
      <c r="F80" s="15"/>
      <c r="G80" s="15"/>
      <c r="H80" s="15"/>
      <c r="I80" s="15"/>
      <c r="J80" s="15"/>
      <c r="K80" s="15"/>
    </row>
    <row r="81" ht="25.5" customHeight="1">
      <c r="A81" s="15"/>
      <c r="B81" s="15"/>
      <c r="C81" s="15"/>
      <c r="D81" s="15"/>
      <c r="E81" s="15"/>
      <c r="F81" s="15"/>
      <c r="G81" s="15"/>
      <c r="H81" s="15"/>
      <c r="I81" s="15"/>
      <c r="J81" s="15"/>
      <c r="K81" s="15"/>
    </row>
    <row r="82" ht="25.5" customHeight="1">
      <c r="A82" s="15"/>
      <c r="B82" s="15"/>
      <c r="C82" s="15"/>
      <c r="D82" s="15"/>
      <c r="E82" s="15"/>
      <c r="F82" s="15"/>
      <c r="G82" s="15"/>
      <c r="H82" s="15"/>
      <c r="I82" s="15"/>
      <c r="J82" s="15"/>
      <c r="K82" s="15"/>
    </row>
    <row r="83" ht="25.5" customHeight="1">
      <c r="A83" s="15"/>
      <c r="B83" s="15"/>
      <c r="C83" s="15"/>
      <c r="D83" s="15"/>
      <c r="E83" s="15"/>
      <c r="F83" s="15"/>
      <c r="G83" s="15"/>
      <c r="H83" s="15"/>
      <c r="I83" s="15"/>
      <c r="J83" s="15"/>
      <c r="K83" s="15"/>
    </row>
    <row r="84" ht="25.5" customHeight="1">
      <c r="A84" s="15"/>
      <c r="B84" s="15"/>
      <c r="C84" s="15"/>
      <c r="D84" s="15"/>
      <c r="E84" s="15"/>
      <c r="F84" s="15"/>
      <c r="G84" s="15"/>
      <c r="H84" s="15"/>
      <c r="I84" s="15"/>
      <c r="J84" s="15"/>
      <c r="K84" s="15"/>
    </row>
    <row r="85" ht="25.5" customHeight="1">
      <c r="A85" s="15"/>
      <c r="B85" s="15"/>
      <c r="C85" s="15"/>
      <c r="D85" s="15"/>
      <c r="E85" s="15"/>
      <c r="F85" s="15"/>
      <c r="G85" s="15"/>
      <c r="H85" s="15"/>
      <c r="I85" s="15"/>
      <c r="J85" s="15"/>
      <c r="K85" s="15"/>
    </row>
    <row r="86" ht="25.5" customHeight="1">
      <c r="A86" s="15"/>
      <c r="B86" s="15"/>
      <c r="C86" s="15"/>
      <c r="D86" s="15"/>
      <c r="E86" s="15"/>
      <c r="F86" s="15"/>
      <c r="G86" s="15"/>
      <c r="H86" s="15"/>
      <c r="I86" s="15"/>
      <c r="J86" s="15"/>
      <c r="K86" s="15"/>
    </row>
    <row r="87" ht="25.5" customHeight="1">
      <c r="A87" s="15"/>
      <c r="B87" s="15"/>
      <c r="C87" s="15"/>
      <c r="D87" s="15"/>
      <c r="E87" s="15"/>
      <c r="F87" s="15"/>
      <c r="G87" s="15"/>
      <c r="H87" s="15"/>
      <c r="I87" s="15"/>
      <c r="J87" s="15"/>
      <c r="K87" s="15"/>
    </row>
    <row r="88" ht="25.5" customHeight="1">
      <c r="A88" s="15"/>
      <c r="B88" s="15"/>
      <c r="C88" s="15"/>
      <c r="D88" s="15"/>
      <c r="E88" s="15"/>
      <c r="F88" s="15"/>
      <c r="G88" s="15"/>
      <c r="H88" s="15"/>
      <c r="I88" s="15"/>
      <c r="J88" s="15"/>
      <c r="K88" s="15"/>
    </row>
    <row r="89" ht="25.5" customHeight="1">
      <c r="A89" s="15"/>
      <c r="B89" s="15"/>
      <c r="C89" s="15"/>
      <c r="D89" s="15"/>
      <c r="E89" s="15"/>
      <c r="F89" s="15"/>
      <c r="G89" s="15"/>
      <c r="H89" s="15"/>
      <c r="I89" s="15"/>
      <c r="J89" s="15"/>
      <c r="K89" s="15"/>
    </row>
    <row r="90" ht="25.5" customHeight="1">
      <c r="A90" s="15"/>
      <c r="B90" s="15"/>
      <c r="C90" s="15"/>
      <c r="D90" s="15"/>
      <c r="E90" s="15"/>
      <c r="F90" s="15"/>
      <c r="G90" s="15"/>
      <c r="H90" s="15"/>
      <c r="I90" s="15"/>
      <c r="J90" s="15"/>
      <c r="K90" s="15"/>
    </row>
    <row r="91" ht="25.5" customHeight="1">
      <c r="A91" s="15"/>
      <c r="B91" s="15"/>
      <c r="C91" s="15"/>
      <c r="D91" s="15"/>
      <c r="E91" s="15"/>
      <c r="F91" s="15"/>
      <c r="G91" s="15"/>
      <c r="H91" s="15"/>
      <c r="I91" s="15"/>
      <c r="J91" s="15"/>
      <c r="K91" s="15"/>
    </row>
    <row r="92" ht="25.5" customHeight="1">
      <c r="A92" s="15"/>
      <c r="B92" s="15"/>
      <c r="C92" s="15"/>
      <c r="D92" s="15"/>
      <c r="E92" s="15"/>
      <c r="F92" s="15"/>
      <c r="G92" s="15"/>
      <c r="H92" s="15"/>
      <c r="I92" s="15"/>
      <c r="J92" s="15"/>
      <c r="K92" s="15"/>
    </row>
    <row r="93" ht="25.5" customHeight="1">
      <c r="A93" s="15"/>
      <c r="B93" s="15"/>
      <c r="C93" s="15"/>
      <c r="D93" s="15"/>
      <c r="E93" s="15"/>
      <c r="F93" s="15"/>
      <c r="G93" s="15"/>
      <c r="H93" s="15"/>
      <c r="I93" s="15"/>
      <c r="J93" s="15"/>
      <c r="K93" s="15"/>
    </row>
    <row r="94" ht="25.5" customHeight="1">
      <c r="A94" s="15"/>
      <c r="B94" s="15"/>
      <c r="C94" s="15"/>
      <c r="D94" s="15"/>
      <c r="E94" s="15"/>
      <c r="F94" s="15"/>
      <c r="G94" s="15"/>
      <c r="H94" s="15"/>
      <c r="I94" s="15"/>
      <c r="J94" s="15"/>
      <c r="K94" s="15"/>
    </row>
    <row r="95" ht="25.5" customHeight="1">
      <c r="A95" s="15"/>
      <c r="B95" s="15"/>
      <c r="C95" s="15"/>
      <c r="D95" s="15"/>
      <c r="E95" s="15"/>
      <c r="F95" s="15"/>
      <c r="G95" s="15"/>
      <c r="H95" s="15"/>
      <c r="I95" s="15"/>
      <c r="J95" s="15"/>
      <c r="K95" s="15"/>
    </row>
    <row r="96" ht="25.5" customHeight="1">
      <c r="A96" s="15"/>
      <c r="B96" s="15"/>
      <c r="C96" s="15"/>
      <c r="D96" s="15"/>
      <c r="E96" s="15"/>
      <c r="F96" s="15"/>
      <c r="G96" s="15"/>
      <c r="H96" s="15"/>
      <c r="I96" s="15"/>
      <c r="J96" s="15"/>
      <c r="K96" s="15"/>
    </row>
    <row r="97" ht="25.5" customHeight="1">
      <c r="A97" s="15"/>
      <c r="B97" s="15"/>
      <c r="C97" s="15"/>
      <c r="D97" s="15"/>
      <c r="E97" s="15"/>
      <c r="F97" s="15"/>
      <c r="G97" s="15"/>
      <c r="H97" s="15"/>
      <c r="I97" s="15"/>
      <c r="J97" s="15"/>
      <c r="K97" s="15"/>
    </row>
    <row r="98" ht="25.5" customHeight="1">
      <c r="A98" s="15"/>
      <c r="B98" s="15"/>
      <c r="C98" s="15"/>
      <c r="D98" s="15"/>
      <c r="E98" s="15"/>
      <c r="F98" s="15"/>
      <c r="G98" s="15"/>
      <c r="H98" s="15"/>
      <c r="I98" s="15"/>
      <c r="J98" s="15"/>
      <c r="K98" s="15"/>
    </row>
    <row r="99" ht="25.5" customHeight="1">
      <c r="A99" s="15"/>
      <c r="B99" s="15"/>
      <c r="C99" s="15"/>
      <c r="D99" s="15"/>
      <c r="E99" s="15"/>
      <c r="F99" s="15"/>
      <c r="G99" s="15"/>
      <c r="H99" s="15"/>
      <c r="I99" s="15"/>
      <c r="J99" s="15"/>
      <c r="K99" s="15"/>
    </row>
    <row r="100" ht="25.5" customHeight="1">
      <c r="A100" s="15"/>
      <c r="B100" s="15"/>
      <c r="C100" s="15"/>
      <c r="D100" s="15"/>
      <c r="E100" s="15"/>
      <c r="F100" s="15"/>
      <c r="G100" s="15"/>
      <c r="H100" s="15"/>
      <c r="I100" s="15"/>
      <c r="J100" s="15"/>
      <c r="K100" s="15"/>
    </row>
    <row r="101" ht="25.5" customHeight="1">
      <c r="A101" s="15"/>
      <c r="B101" s="15"/>
      <c r="C101" s="15"/>
      <c r="D101" s="15"/>
      <c r="E101" s="15"/>
      <c r="F101" s="15"/>
      <c r="G101" s="15"/>
      <c r="H101" s="15"/>
      <c r="I101" s="15"/>
      <c r="J101" s="15"/>
      <c r="K101" s="15"/>
    </row>
    <row r="102" ht="25.5" customHeight="1">
      <c r="A102" s="15"/>
      <c r="B102" s="15"/>
      <c r="C102" s="15"/>
      <c r="D102" s="15"/>
      <c r="E102" s="15"/>
      <c r="F102" s="15"/>
      <c r="G102" s="15"/>
      <c r="H102" s="15"/>
      <c r="I102" s="15"/>
      <c r="J102" s="15"/>
      <c r="K102" s="15"/>
    </row>
    <row r="103" ht="25.5" customHeight="1">
      <c r="A103" s="15"/>
      <c r="B103" s="15"/>
      <c r="C103" s="15"/>
      <c r="D103" s="15"/>
      <c r="E103" s="15"/>
      <c r="F103" s="15"/>
      <c r="G103" s="15"/>
      <c r="H103" s="15"/>
      <c r="I103" s="15"/>
      <c r="J103" s="15"/>
      <c r="K103" s="15"/>
    </row>
    <row r="104" ht="25.5" customHeight="1">
      <c r="A104" s="15"/>
      <c r="B104" s="15"/>
      <c r="C104" s="15"/>
      <c r="D104" s="15"/>
      <c r="E104" s="15"/>
      <c r="F104" s="15"/>
      <c r="G104" s="15"/>
      <c r="H104" s="15"/>
      <c r="I104" s="15"/>
      <c r="J104" s="15"/>
      <c r="K104" s="15"/>
    </row>
    <row r="105" ht="25.5" customHeight="1">
      <c r="A105" s="15"/>
      <c r="B105" s="15"/>
      <c r="C105" s="15"/>
      <c r="D105" s="15"/>
      <c r="E105" s="15"/>
      <c r="F105" s="15"/>
      <c r="G105" s="15"/>
      <c r="H105" s="15"/>
      <c r="I105" s="15"/>
      <c r="J105" s="15"/>
      <c r="K105" s="15"/>
    </row>
    <row r="106" ht="25.5" customHeight="1">
      <c r="A106" s="15"/>
      <c r="B106" s="15"/>
      <c r="C106" s="15"/>
      <c r="D106" s="15"/>
      <c r="E106" s="15"/>
      <c r="F106" s="15"/>
      <c r="G106" s="15"/>
      <c r="H106" s="15"/>
      <c r="I106" s="15"/>
      <c r="J106" s="15"/>
      <c r="K106" s="15"/>
    </row>
    <row r="107" ht="15.75" customHeight="1">
      <c r="A107" s="15"/>
      <c r="B107" s="15"/>
      <c r="C107" s="15"/>
      <c r="D107" s="15"/>
      <c r="E107" s="15"/>
      <c r="F107" s="15"/>
      <c r="G107" s="15"/>
      <c r="H107" s="15"/>
      <c r="I107" s="15"/>
      <c r="J107" s="15"/>
      <c r="K107" s="15"/>
    </row>
    <row r="108" ht="15.75" customHeight="1"/>
    <row r="109" ht="15.75" customHeight="1">
      <c r="A109" s="50"/>
    </row>
    <row r="110" ht="27.75" customHeight="1">
      <c r="A110" s="51" t="s">
        <v>322</v>
      </c>
    </row>
    <row r="111" ht="15.75" customHeight="1">
      <c r="A111" s="52" t="s">
        <v>536</v>
      </c>
    </row>
    <row r="112" ht="15.75" customHeight="1">
      <c r="A112" s="53" t="s">
        <v>539</v>
      </c>
    </row>
    <row r="113" ht="15.75" customHeight="1">
      <c r="A113" s="53" t="s">
        <v>541</v>
      </c>
    </row>
    <row r="114" ht="15.75" customHeight="1">
      <c r="A114" s="53" t="s">
        <v>543</v>
      </c>
    </row>
    <row r="115" ht="27.75" customHeight="1">
      <c r="A115" s="53" t="s">
        <v>545</v>
      </c>
    </row>
    <row r="116" ht="15.75" customHeight="1">
      <c r="A116" s="53" t="s">
        <v>548</v>
      </c>
    </row>
    <row r="117" ht="15.75" customHeight="1">
      <c r="A117" s="53" t="s">
        <v>550</v>
      </c>
    </row>
    <row r="118" ht="15.75" customHeight="1">
      <c r="A118" s="53" t="s">
        <v>552</v>
      </c>
    </row>
    <row r="119" ht="27.75" customHeight="1">
      <c r="A119" s="53" t="s">
        <v>557</v>
      </c>
    </row>
    <row r="120" ht="27.75" customHeight="1">
      <c r="A120" s="52" t="s">
        <v>559</v>
      </c>
    </row>
    <row r="121" ht="15.75" customHeight="1">
      <c r="A121" s="52" t="s">
        <v>560</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14:K114"/>
    <mergeCell ref="A115:K115"/>
    <mergeCell ref="A116:K116"/>
    <mergeCell ref="A117:K117"/>
    <mergeCell ref="A118:K118"/>
    <mergeCell ref="A119:K119"/>
    <mergeCell ref="A120:K120"/>
    <mergeCell ref="A1:K1"/>
    <mergeCell ref="A2:K2"/>
    <mergeCell ref="A109:K109"/>
    <mergeCell ref="A110:K110"/>
    <mergeCell ref="A111:K111"/>
    <mergeCell ref="A112:K112"/>
    <mergeCell ref="A113:K113"/>
  </mergeCells>
  <dataValidations>
    <dataValidation type="list" allowBlank="1" sqref="I7:I106">
      <formula1>"Visible on the site,Admin use only"</formula1>
    </dataValidation>
    <dataValidation type="list" allowBlank="1" sqref="C7:C106">
      <formula1>"Individual - every registrant answers,Company - first person in session only"</formula1>
    </dataValidation>
    <dataValidation type="list" allowBlank="1" sqref="B7:B106">
      <formula1>"Profile,Show Questions"</formula1>
    </dataValidation>
    <dataValidation type="list" allowBlank="1" sqref="E7:E106">
      <formula1>"Free text,Single select,Multi-select"</formula1>
    </dataValidation>
    <dataValidation type="list" allowBlank="1" sqref="G7:G106">
      <formula1>"Yes,No"</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3" width="32.0"/>
    <col customWidth="1" min="4" max="4" width="44.0"/>
    <col customWidth="1" min="5" max="5" width="20.0"/>
    <col customWidth="1" min="6" max="6" width="36.0"/>
    <col customWidth="1" min="7" max="7" width="22.0"/>
    <col customWidth="1" min="8" max="26" width="8.71"/>
  </cols>
  <sheetData>
    <row r="1" ht="27.75" customHeight="1">
      <c r="A1" s="1" t="s">
        <v>478</v>
      </c>
      <c r="B1" s="2"/>
      <c r="C1" s="2"/>
      <c r="D1" s="2"/>
      <c r="E1" s="2"/>
      <c r="F1" s="2"/>
      <c r="G1" s="3"/>
    </row>
    <row r="2" ht="19.5" customHeight="1">
      <c r="A2" s="4" t="s">
        <v>479</v>
      </c>
    </row>
    <row r="4" ht="30.0" customHeight="1">
      <c r="A4" s="5" t="s">
        <v>480</v>
      </c>
      <c r="B4" s="5" t="s">
        <v>481</v>
      </c>
      <c r="C4" s="5" t="s">
        <v>482</v>
      </c>
      <c r="D4" s="5" t="s">
        <v>483</v>
      </c>
      <c r="E4" s="5" t="s">
        <v>484</v>
      </c>
      <c r="F4" s="5" t="s">
        <v>22</v>
      </c>
      <c r="G4" s="5" t="s">
        <v>8</v>
      </c>
    </row>
    <row r="5" ht="24.0" customHeight="1">
      <c r="A5" s="65" t="s">
        <v>485</v>
      </c>
      <c r="B5" s="65" t="s">
        <v>486</v>
      </c>
      <c r="C5" s="12" t="s">
        <v>59</v>
      </c>
      <c r="D5" s="65" t="s">
        <v>32</v>
      </c>
      <c r="E5" s="8" t="s">
        <v>31</v>
      </c>
      <c r="F5" s="8" t="s">
        <v>65</v>
      </c>
      <c r="G5" s="19" t="s">
        <v>38</v>
      </c>
    </row>
    <row r="6" ht="24.0" customHeight="1">
      <c r="A6" s="65" t="s">
        <v>485</v>
      </c>
      <c r="B6" s="65" t="s">
        <v>486</v>
      </c>
      <c r="C6" s="12" t="s">
        <v>59</v>
      </c>
      <c r="D6" s="65" t="s">
        <v>70</v>
      </c>
      <c r="E6" s="8" t="s">
        <v>31</v>
      </c>
      <c r="F6" s="8" t="s">
        <v>72</v>
      </c>
      <c r="G6" s="19" t="s">
        <v>38</v>
      </c>
    </row>
    <row r="7" ht="24.0" customHeight="1">
      <c r="A7" s="65" t="s">
        <v>485</v>
      </c>
      <c r="B7" s="65" t="s">
        <v>487</v>
      </c>
      <c r="C7" s="12" t="s">
        <v>78</v>
      </c>
      <c r="D7" s="65" t="s">
        <v>75</v>
      </c>
      <c r="E7" s="8" t="s">
        <v>31</v>
      </c>
      <c r="F7" s="8" t="s">
        <v>82</v>
      </c>
      <c r="G7" s="19" t="s">
        <v>38</v>
      </c>
    </row>
    <row r="8" ht="24.0" customHeight="1">
      <c r="A8" s="65" t="s">
        <v>485</v>
      </c>
      <c r="B8" s="65" t="s">
        <v>488</v>
      </c>
      <c r="C8" s="12" t="s">
        <v>87</v>
      </c>
      <c r="D8" s="65" t="s">
        <v>86</v>
      </c>
      <c r="E8" s="8" t="s">
        <v>31</v>
      </c>
      <c r="F8" s="8" t="s">
        <v>89</v>
      </c>
      <c r="G8" s="19" t="s">
        <v>38</v>
      </c>
    </row>
    <row r="9" ht="24.0" customHeight="1">
      <c r="A9" s="65" t="s">
        <v>485</v>
      </c>
      <c r="B9" s="65" t="s">
        <v>488</v>
      </c>
      <c r="C9" s="12" t="s">
        <v>92</v>
      </c>
      <c r="D9" s="65" t="s">
        <v>92</v>
      </c>
      <c r="E9" s="8" t="s">
        <v>31</v>
      </c>
      <c r="F9" s="8" t="s">
        <v>89</v>
      </c>
      <c r="G9" s="19" t="s">
        <v>38</v>
      </c>
    </row>
    <row r="10" ht="24.0" customHeight="1">
      <c r="A10" s="65" t="s">
        <v>485</v>
      </c>
      <c r="B10" s="65" t="s">
        <v>488</v>
      </c>
      <c r="C10" s="12" t="s">
        <v>97</v>
      </c>
      <c r="D10" s="65" t="s">
        <v>97</v>
      </c>
      <c r="E10" s="8" t="s">
        <v>31</v>
      </c>
      <c r="F10" s="8" t="s">
        <v>89</v>
      </c>
      <c r="G10" s="19" t="s">
        <v>38</v>
      </c>
    </row>
    <row r="11" ht="24.0" customHeight="1">
      <c r="A11" s="65" t="s">
        <v>485</v>
      </c>
      <c r="B11" s="65" t="s">
        <v>489</v>
      </c>
      <c r="C11" s="12" t="s">
        <v>109</v>
      </c>
      <c r="D11" s="65" t="s">
        <v>101</v>
      </c>
      <c r="E11" s="8" t="s">
        <v>31</v>
      </c>
      <c r="F11" s="8" t="s">
        <v>111</v>
      </c>
      <c r="G11" s="19" t="s">
        <v>38</v>
      </c>
    </row>
    <row r="12" ht="24.0" customHeight="1">
      <c r="A12" s="65" t="s">
        <v>485</v>
      </c>
      <c r="B12" s="65" t="s">
        <v>489</v>
      </c>
      <c r="C12" s="12" t="s">
        <v>116</v>
      </c>
      <c r="D12" s="65" t="s">
        <v>115</v>
      </c>
      <c r="E12" s="8" t="s">
        <v>31</v>
      </c>
      <c r="F12" s="8" t="s">
        <v>117</v>
      </c>
      <c r="G12" s="19" t="s">
        <v>38</v>
      </c>
    </row>
    <row r="13" ht="24.0" customHeight="1">
      <c r="A13" s="65" t="s">
        <v>485</v>
      </c>
      <c r="B13" s="65" t="s">
        <v>488</v>
      </c>
      <c r="C13" s="12" t="s">
        <v>120</v>
      </c>
      <c r="D13" s="65" t="s">
        <v>118</v>
      </c>
      <c r="E13" s="8" t="s">
        <v>31</v>
      </c>
      <c r="F13" s="8" t="s">
        <v>121</v>
      </c>
      <c r="G13" s="19" t="s">
        <v>38</v>
      </c>
    </row>
    <row r="14" ht="24.0" customHeight="1">
      <c r="A14" s="65" t="s">
        <v>485</v>
      </c>
      <c r="B14" s="65" t="s">
        <v>488</v>
      </c>
      <c r="C14" s="12" t="s">
        <v>120</v>
      </c>
      <c r="D14" s="65" t="s">
        <v>122</v>
      </c>
      <c r="E14" s="8" t="s">
        <v>31</v>
      </c>
      <c r="F14" s="8" t="s">
        <v>121</v>
      </c>
      <c r="G14" s="19" t="s">
        <v>38</v>
      </c>
    </row>
    <row r="15" ht="24.0" customHeight="1">
      <c r="A15" s="65" t="s">
        <v>485</v>
      </c>
      <c r="B15" s="65" t="s">
        <v>488</v>
      </c>
      <c r="C15" s="12" t="s">
        <v>125</v>
      </c>
      <c r="D15" s="65" t="s">
        <v>124</v>
      </c>
      <c r="E15" s="8" t="s">
        <v>31</v>
      </c>
      <c r="F15" s="8" t="s">
        <v>126</v>
      </c>
      <c r="G15" s="19" t="s">
        <v>38</v>
      </c>
    </row>
    <row r="16" ht="24.0" customHeight="1">
      <c r="A16" s="65" t="s">
        <v>485</v>
      </c>
      <c r="B16" s="65" t="s">
        <v>488</v>
      </c>
      <c r="C16" s="12" t="s">
        <v>125</v>
      </c>
      <c r="D16" s="65" t="s">
        <v>129</v>
      </c>
      <c r="E16" s="8" t="s">
        <v>31</v>
      </c>
      <c r="F16" s="8" t="s">
        <v>126</v>
      </c>
      <c r="G16" s="19" t="s">
        <v>38</v>
      </c>
    </row>
    <row r="17" ht="24.0" customHeight="1">
      <c r="A17" s="65" t="s">
        <v>485</v>
      </c>
      <c r="B17" s="65" t="s">
        <v>488</v>
      </c>
      <c r="C17" s="12" t="s">
        <v>23</v>
      </c>
      <c r="D17" s="65" t="s">
        <v>130</v>
      </c>
      <c r="E17" s="8" t="s">
        <v>31</v>
      </c>
      <c r="F17" s="8" t="s">
        <v>132</v>
      </c>
      <c r="G17" s="19" t="s">
        <v>38</v>
      </c>
    </row>
    <row r="18" ht="24.0" customHeight="1">
      <c r="A18" s="65" t="s">
        <v>490</v>
      </c>
      <c r="B18" s="65" t="s">
        <v>491</v>
      </c>
      <c r="C18" s="12" t="s">
        <v>153</v>
      </c>
      <c r="D18" s="65" t="s">
        <v>134</v>
      </c>
      <c r="E18" s="8" t="s">
        <v>31</v>
      </c>
      <c r="F18" s="8" t="s">
        <v>159</v>
      </c>
      <c r="G18" s="19" t="s">
        <v>38</v>
      </c>
    </row>
    <row r="19" ht="24.0" customHeight="1">
      <c r="A19" s="65" t="s">
        <v>490</v>
      </c>
      <c r="B19" s="65" t="s">
        <v>491</v>
      </c>
      <c r="C19" s="12" t="s">
        <v>166</v>
      </c>
      <c r="D19" s="65" t="s">
        <v>162</v>
      </c>
      <c r="E19" s="8" t="s">
        <v>31</v>
      </c>
      <c r="F19" s="8" t="s">
        <v>167</v>
      </c>
      <c r="G19" s="19" t="s">
        <v>38</v>
      </c>
    </row>
    <row r="20" ht="24.0" customHeight="1">
      <c r="A20" s="65" t="s">
        <v>490</v>
      </c>
      <c r="B20" s="65" t="s">
        <v>491</v>
      </c>
      <c r="C20" s="12" t="s">
        <v>173</v>
      </c>
      <c r="D20" s="65" t="s">
        <v>33</v>
      </c>
      <c r="E20" s="8" t="s">
        <v>31</v>
      </c>
      <c r="F20" s="8" t="s">
        <v>174</v>
      </c>
      <c r="G20" s="37" t="s">
        <v>71</v>
      </c>
    </row>
    <row r="21" ht="24.0" customHeight="1">
      <c r="A21" s="65" t="s">
        <v>490</v>
      </c>
      <c r="B21" s="65" t="s">
        <v>492</v>
      </c>
      <c r="C21" s="12" t="s">
        <v>183</v>
      </c>
      <c r="D21" s="65" t="s">
        <v>180</v>
      </c>
      <c r="E21" s="8" t="s">
        <v>31</v>
      </c>
      <c r="F21" s="8" t="s">
        <v>188</v>
      </c>
      <c r="G21" s="19" t="s">
        <v>38</v>
      </c>
    </row>
    <row r="22" ht="24.0" customHeight="1">
      <c r="A22" s="65" t="s">
        <v>490</v>
      </c>
      <c r="B22" s="65" t="s">
        <v>492</v>
      </c>
      <c r="C22" s="12" t="s">
        <v>183</v>
      </c>
      <c r="D22" s="65" t="s">
        <v>190</v>
      </c>
      <c r="E22" s="8" t="s">
        <v>31</v>
      </c>
      <c r="F22" s="8" t="s">
        <v>188</v>
      </c>
      <c r="G22" s="19" t="s">
        <v>38</v>
      </c>
    </row>
    <row r="23" ht="24.0" customHeight="1">
      <c r="A23" s="65" t="s">
        <v>490</v>
      </c>
      <c r="B23" s="65" t="s">
        <v>493</v>
      </c>
      <c r="C23" s="12" t="s">
        <v>198</v>
      </c>
      <c r="D23" s="65" t="s">
        <v>193</v>
      </c>
      <c r="E23" s="8" t="s">
        <v>31</v>
      </c>
      <c r="F23" s="8" t="s">
        <v>174</v>
      </c>
      <c r="G23" s="8" t="s">
        <v>80</v>
      </c>
    </row>
    <row r="24" ht="24.0" customHeight="1">
      <c r="A24" s="65" t="s">
        <v>490</v>
      </c>
      <c r="B24" s="65" t="s">
        <v>493</v>
      </c>
      <c r="C24" s="12" t="s">
        <v>204</v>
      </c>
      <c r="D24" s="65" t="s">
        <v>203</v>
      </c>
      <c r="E24" s="8" t="s">
        <v>31</v>
      </c>
      <c r="F24" s="8" t="s">
        <v>207</v>
      </c>
      <c r="G24" s="8" t="s">
        <v>80</v>
      </c>
    </row>
    <row r="25" ht="24.0" customHeight="1">
      <c r="A25" s="65" t="s">
        <v>490</v>
      </c>
      <c r="B25" s="65" t="s">
        <v>494</v>
      </c>
      <c r="C25" s="12" t="s">
        <v>211</v>
      </c>
      <c r="D25" s="65" t="s">
        <v>209</v>
      </c>
      <c r="E25" s="8" t="s">
        <v>31</v>
      </c>
      <c r="F25" s="8" t="s">
        <v>213</v>
      </c>
      <c r="G25" s="8" t="s">
        <v>80</v>
      </c>
    </row>
    <row r="26" ht="24.0" customHeight="1">
      <c r="A26" s="65" t="s">
        <v>490</v>
      </c>
      <c r="B26" s="65" t="s">
        <v>495</v>
      </c>
      <c r="C26" s="12" t="s">
        <v>218</v>
      </c>
      <c r="D26" s="65" t="s">
        <v>217</v>
      </c>
      <c r="E26" s="8" t="s">
        <v>31</v>
      </c>
      <c r="F26" s="8" t="s">
        <v>220</v>
      </c>
      <c r="G26" s="8" t="s">
        <v>80</v>
      </c>
    </row>
    <row r="27" ht="24.0" customHeight="1">
      <c r="A27" s="65" t="s">
        <v>490</v>
      </c>
      <c r="B27" s="65" t="s">
        <v>496</v>
      </c>
      <c r="C27" s="12" t="s">
        <v>229</v>
      </c>
      <c r="D27" s="65" t="s">
        <v>222</v>
      </c>
      <c r="E27" s="8" t="s">
        <v>31</v>
      </c>
      <c r="F27" s="8" t="s">
        <v>230</v>
      </c>
      <c r="G27" s="19" t="s">
        <v>38</v>
      </c>
    </row>
    <row r="28" ht="24.0" customHeight="1">
      <c r="A28" s="65" t="s">
        <v>490</v>
      </c>
      <c r="B28" s="65" t="s">
        <v>497</v>
      </c>
      <c r="C28" s="12" t="s">
        <v>236</v>
      </c>
      <c r="D28" s="65" t="s">
        <v>233</v>
      </c>
      <c r="E28" s="8" t="s">
        <v>31</v>
      </c>
      <c r="F28" s="8" t="s">
        <v>239</v>
      </c>
      <c r="G28" s="19" t="s">
        <v>38</v>
      </c>
    </row>
    <row r="29" ht="24.0" customHeight="1">
      <c r="A29" s="65" t="s">
        <v>490</v>
      </c>
      <c r="B29" s="65" t="s">
        <v>497</v>
      </c>
      <c r="C29" s="12" t="s">
        <v>236</v>
      </c>
      <c r="D29" s="65" t="s">
        <v>242</v>
      </c>
      <c r="E29" s="8" t="s">
        <v>31</v>
      </c>
      <c r="F29" s="8" t="s">
        <v>243</v>
      </c>
      <c r="G29" s="19" t="s">
        <v>38</v>
      </c>
    </row>
    <row r="30" ht="24.0" customHeight="1">
      <c r="A30" s="65" t="s">
        <v>490</v>
      </c>
      <c r="B30" s="65" t="s">
        <v>498</v>
      </c>
      <c r="C30" s="12" t="s">
        <v>245</v>
      </c>
      <c r="D30" s="65" t="s">
        <v>244</v>
      </c>
      <c r="E30" s="8" t="s">
        <v>31</v>
      </c>
      <c r="F30" s="8" t="s">
        <v>247</v>
      </c>
      <c r="G30" s="19" t="s">
        <v>38</v>
      </c>
    </row>
    <row r="31" ht="24.0" customHeight="1">
      <c r="A31" s="65" t="s">
        <v>490</v>
      </c>
      <c r="B31" s="65" t="s">
        <v>498</v>
      </c>
      <c r="C31" s="12" t="s">
        <v>245</v>
      </c>
      <c r="D31" s="65" t="s">
        <v>249</v>
      </c>
      <c r="E31" s="8" t="s">
        <v>31</v>
      </c>
      <c r="F31" s="8" t="s">
        <v>247</v>
      </c>
      <c r="G31" s="19" t="s">
        <v>38</v>
      </c>
    </row>
    <row r="32" ht="24.0" customHeight="1">
      <c r="A32" s="65" t="s">
        <v>490</v>
      </c>
      <c r="B32" s="65" t="s">
        <v>498</v>
      </c>
      <c r="C32" s="12" t="s">
        <v>245</v>
      </c>
      <c r="D32" s="65" t="s">
        <v>251</v>
      </c>
      <c r="E32" s="8" t="s">
        <v>31</v>
      </c>
      <c r="F32" s="8" t="s">
        <v>247</v>
      </c>
      <c r="G32" s="19" t="s">
        <v>38</v>
      </c>
    </row>
    <row r="33" ht="24.0" customHeight="1">
      <c r="A33" s="65" t="s">
        <v>490</v>
      </c>
      <c r="B33" s="65" t="s">
        <v>498</v>
      </c>
      <c r="C33" s="12" t="s">
        <v>245</v>
      </c>
      <c r="D33" s="65" t="s">
        <v>252</v>
      </c>
      <c r="E33" s="8" t="s">
        <v>31</v>
      </c>
      <c r="F33" s="8" t="s">
        <v>247</v>
      </c>
      <c r="G33" s="19" t="s">
        <v>38</v>
      </c>
    </row>
    <row r="34" ht="24.0" customHeight="1">
      <c r="A34" s="65" t="s">
        <v>490</v>
      </c>
      <c r="B34" s="65" t="s">
        <v>498</v>
      </c>
      <c r="C34" s="12" t="s">
        <v>245</v>
      </c>
      <c r="D34" s="65" t="s">
        <v>255</v>
      </c>
      <c r="E34" s="8" t="s">
        <v>31</v>
      </c>
      <c r="F34" s="8" t="s">
        <v>247</v>
      </c>
      <c r="G34" s="19" t="s">
        <v>38</v>
      </c>
    </row>
    <row r="35" ht="24.0" customHeight="1">
      <c r="A35" s="65" t="s">
        <v>490</v>
      </c>
      <c r="B35" s="65" t="s">
        <v>505</v>
      </c>
      <c r="C35" s="12" t="s">
        <v>258</v>
      </c>
      <c r="D35" s="65" t="s">
        <v>256</v>
      </c>
      <c r="E35" s="8" t="s">
        <v>31</v>
      </c>
      <c r="F35" s="8" t="s">
        <v>260</v>
      </c>
      <c r="G35" s="19" t="s">
        <v>38</v>
      </c>
    </row>
    <row r="36" ht="24.0" customHeight="1">
      <c r="A36" s="65" t="s">
        <v>490</v>
      </c>
      <c r="B36" s="65" t="s">
        <v>508</v>
      </c>
      <c r="C36" s="12" t="s">
        <v>264</v>
      </c>
      <c r="D36" s="65" t="s">
        <v>95</v>
      </c>
      <c r="E36" s="8" t="s">
        <v>31</v>
      </c>
      <c r="F36" s="8" t="s">
        <v>267</v>
      </c>
      <c r="G36" s="37" t="s">
        <v>71</v>
      </c>
    </row>
    <row r="37" ht="24.0" customHeight="1">
      <c r="A37" s="65" t="s">
        <v>490</v>
      </c>
      <c r="B37" s="65" t="s">
        <v>511</v>
      </c>
      <c r="C37" s="12" t="s">
        <v>269</v>
      </c>
      <c r="D37" s="65" t="s">
        <v>102</v>
      </c>
      <c r="E37" s="8" t="s">
        <v>31</v>
      </c>
      <c r="F37" s="8" t="s">
        <v>213</v>
      </c>
      <c r="G37" s="37" t="s">
        <v>71</v>
      </c>
    </row>
    <row r="38" ht="24.0" customHeight="1">
      <c r="A38" s="65" t="s">
        <v>490</v>
      </c>
      <c r="B38" s="65" t="s">
        <v>513</v>
      </c>
      <c r="C38" s="12" t="s">
        <v>274</v>
      </c>
      <c r="D38" s="65" t="s">
        <v>108</v>
      </c>
      <c r="E38" s="8" t="s">
        <v>31</v>
      </c>
      <c r="F38" s="8" t="s">
        <v>267</v>
      </c>
      <c r="G38" s="37" t="s">
        <v>71</v>
      </c>
    </row>
    <row r="39" ht="24.0" customHeight="1">
      <c r="A39" s="65" t="s">
        <v>490</v>
      </c>
      <c r="B39" s="65" t="s">
        <v>515</v>
      </c>
      <c r="C39" s="12" t="s">
        <v>278</v>
      </c>
      <c r="D39" s="65" t="s">
        <v>278</v>
      </c>
      <c r="E39" s="8" t="s">
        <v>31</v>
      </c>
      <c r="F39" s="8" t="s">
        <v>281</v>
      </c>
      <c r="G39" s="19" t="s">
        <v>38</v>
      </c>
    </row>
    <row r="40" ht="24.0" customHeight="1">
      <c r="A40" s="65" t="s">
        <v>490</v>
      </c>
      <c r="B40" s="65" t="s">
        <v>515</v>
      </c>
      <c r="C40" s="12" t="s">
        <v>284</v>
      </c>
      <c r="D40" s="65" t="s">
        <v>283</v>
      </c>
      <c r="E40" s="8" t="s">
        <v>31</v>
      </c>
      <c r="F40" s="8" t="s">
        <v>281</v>
      </c>
      <c r="G40" s="19" t="s">
        <v>38</v>
      </c>
    </row>
    <row r="41" ht="24.0" customHeight="1">
      <c r="A41" s="65" t="s">
        <v>490</v>
      </c>
      <c r="B41" s="65" t="s">
        <v>518</v>
      </c>
      <c r="C41" s="12" t="s">
        <v>288</v>
      </c>
      <c r="D41" s="65" t="s">
        <v>286</v>
      </c>
      <c r="E41" s="8" t="s">
        <v>31</v>
      </c>
      <c r="F41" s="8" t="s">
        <v>291</v>
      </c>
      <c r="G41" s="19" t="s">
        <v>38</v>
      </c>
    </row>
    <row r="42" ht="24.0" customHeight="1">
      <c r="A42" s="65" t="s">
        <v>490</v>
      </c>
      <c r="B42" s="65" t="s">
        <v>519</v>
      </c>
      <c r="C42" s="12" t="s">
        <v>35</v>
      </c>
      <c r="D42" s="65" t="s">
        <v>23</v>
      </c>
      <c r="E42" s="8" t="s">
        <v>119</v>
      </c>
      <c r="F42" s="8" t="s">
        <v>521</v>
      </c>
      <c r="G42" s="19" t="s">
        <v>38</v>
      </c>
    </row>
    <row r="43" ht="24.0" customHeight="1">
      <c r="A43" s="65" t="s">
        <v>490</v>
      </c>
      <c r="B43" s="65" t="s">
        <v>519</v>
      </c>
      <c r="C43" s="12" t="s">
        <v>44</v>
      </c>
      <c r="D43" s="65" t="s">
        <v>43</v>
      </c>
      <c r="E43" s="8" t="s">
        <v>119</v>
      </c>
      <c r="F43" s="8" t="s">
        <v>521</v>
      </c>
      <c r="G43" s="19" t="s">
        <v>38</v>
      </c>
    </row>
    <row r="44" ht="24.0" customHeight="1">
      <c r="A44" s="65" t="s">
        <v>490</v>
      </c>
      <c r="B44" s="65" t="s">
        <v>519</v>
      </c>
      <c r="C44" s="12" t="s">
        <v>47</v>
      </c>
      <c r="D44" s="65" t="s">
        <v>46</v>
      </c>
      <c r="E44" s="8" t="s">
        <v>119</v>
      </c>
      <c r="F44" s="8" t="s">
        <v>521</v>
      </c>
      <c r="G44" s="19" t="s">
        <v>38</v>
      </c>
    </row>
    <row r="45" ht="24.0" customHeight="1">
      <c r="A45" s="65" t="s">
        <v>490</v>
      </c>
      <c r="B45" s="65" t="s">
        <v>519</v>
      </c>
      <c r="C45" s="12" t="s">
        <v>52</v>
      </c>
      <c r="D45" s="65" t="s">
        <v>51</v>
      </c>
      <c r="E45" s="8" t="s">
        <v>119</v>
      </c>
      <c r="F45" s="8" t="s">
        <v>521</v>
      </c>
      <c r="G45" s="19" t="s">
        <v>38</v>
      </c>
    </row>
    <row r="46" ht="24.0" customHeight="1">
      <c r="A46" s="65" t="s">
        <v>490</v>
      </c>
      <c r="B46" s="65" t="s">
        <v>519</v>
      </c>
      <c r="C46" s="12" t="s">
        <v>55</v>
      </c>
      <c r="D46" s="65" t="s">
        <v>54</v>
      </c>
      <c r="E46" s="8" t="s">
        <v>119</v>
      </c>
      <c r="F46" s="8" t="s">
        <v>521</v>
      </c>
      <c r="G46" s="19" t="s">
        <v>38</v>
      </c>
    </row>
    <row r="47" ht="24.0" customHeight="1">
      <c r="A47" s="65" t="s">
        <v>490</v>
      </c>
      <c r="B47" s="65" t="s">
        <v>519</v>
      </c>
      <c r="C47" s="12" t="s">
        <v>58</v>
      </c>
      <c r="D47" s="65" t="s">
        <v>57</v>
      </c>
      <c r="E47" s="8" t="s">
        <v>119</v>
      </c>
      <c r="F47" s="8" t="s">
        <v>521</v>
      </c>
      <c r="G47" s="19" t="s">
        <v>38</v>
      </c>
    </row>
    <row r="48" ht="24.0" customHeight="1">
      <c r="A48" s="65" t="s">
        <v>490</v>
      </c>
      <c r="B48" s="65" t="s">
        <v>519</v>
      </c>
      <c r="C48" s="12" t="s">
        <v>63</v>
      </c>
      <c r="D48" s="65" t="s">
        <v>61</v>
      </c>
      <c r="E48" s="8" t="s">
        <v>119</v>
      </c>
      <c r="F48" s="8" t="s">
        <v>521</v>
      </c>
      <c r="G48" s="19" t="s">
        <v>38</v>
      </c>
    </row>
    <row r="49" ht="24.0" customHeight="1">
      <c r="A49" s="65" t="s">
        <v>490</v>
      </c>
      <c r="B49" s="65" t="s">
        <v>519</v>
      </c>
      <c r="C49" s="12" t="s">
        <v>66</v>
      </c>
      <c r="D49" s="65" t="s">
        <v>66</v>
      </c>
      <c r="E49" s="8" t="s">
        <v>119</v>
      </c>
      <c r="F49" s="8" t="s">
        <v>521</v>
      </c>
      <c r="G49" s="19" t="s">
        <v>38</v>
      </c>
    </row>
    <row r="50" ht="24.0" customHeight="1">
      <c r="A50" s="65" t="s">
        <v>490</v>
      </c>
      <c r="B50" s="65" t="s">
        <v>519</v>
      </c>
      <c r="C50" s="12" t="s">
        <v>77</v>
      </c>
      <c r="D50" s="65" t="s">
        <v>76</v>
      </c>
      <c r="E50" s="8" t="s">
        <v>119</v>
      </c>
      <c r="F50" s="8" t="s">
        <v>521</v>
      </c>
      <c r="G50" s="19" t="s">
        <v>38</v>
      </c>
    </row>
    <row r="51" ht="24.0" customHeight="1">
      <c r="A51" s="65" t="s">
        <v>490</v>
      </c>
      <c r="B51" s="65" t="s">
        <v>519</v>
      </c>
      <c r="C51" s="12" t="s">
        <v>85</v>
      </c>
      <c r="D51" s="65" t="s">
        <v>83</v>
      </c>
      <c r="E51" s="8" t="s">
        <v>119</v>
      </c>
      <c r="F51" s="8" t="s">
        <v>521</v>
      </c>
      <c r="G51" s="37" t="s">
        <v>71</v>
      </c>
    </row>
    <row r="52" ht="24.0" customHeight="1">
      <c r="A52" s="65" t="s">
        <v>490</v>
      </c>
      <c r="B52" s="65" t="s">
        <v>530</v>
      </c>
      <c r="C52" s="12" t="s">
        <v>531</v>
      </c>
      <c r="D52" s="65" t="s">
        <v>143</v>
      </c>
      <c r="E52" s="8" t="s">
        <v>135</v>
      </c>
      <c r="F52" s="8" t="s">
        <v>532</v>
      </c>
      <c r="G52" s="37" t="s">
        <v>71</v>
      </c>
    </row>
    <row r="53" ht="24.0" customHeight="1">
      <c r="A53" s="65" t="s">
        <v>490</v>
      </c>
      <c r="B53" s="65" t="s">
        <v>530</v>
      </c>
      <c r="C53" s="12" t="s">
        <v>535</v>
      </c>
      <c r="D53" s="65" t="s">
        <v>136</v>
      </c>
      <c r="E53" s="8" t="s">
        <v>135</v>
      </c>
      <c r="F53" s="8" t="s">
        <v>532</v>
      </c>
      <c r="G53" s="37" t="s">
        <v>71</v>
      </c>
    </row>
    <row r="54" ht="24.0" customHeight="1">
      <c r="A54" s="65" t="s">
        <v>490</v>
      </c>
      <c r="B54" s="65" t="s">
        <v>530</v>
      </c>
      <c r="C54" s="12" t="s">
        <v>540</v>
      </c>
      <c r="D54" s="65" t="s">
        <v>140</v>
      </c>
      <c r="E54" s="8" t="s">
        <v>135</v>
      </c>
      <c r="F54" s="8" t="s">
        <v>532</v>
      </c>
      <c r="G54" s="37" t="s">
        <v>71</v>
      </c>
    </row>
    <row r="55" ht="24.0" customHeight="1">
      <c r="A55" s="65" t="s">
        <v>490</v>
      </c>
      <c r="B55" s="65" t="s">
        <v>530</v>
      </c>
      <c r="C55" s="12" t="s">
        <v>314</v>
      </c>
      <c r="D55" s="65" t="s">
        <v>314</v>
      </c>
      <c r="E55" s="8" t="s">
        <v>135</v>
      </c>
      <c r="F55" s="8" t="s">
        <v>532</v>
      </c>
      <c r="G55" s="19" t="s">
        <v>38</v>
      </c>
    </row>
    <row r="56" ht="24.0" customHeight="1">
      <c r="A56" s="65" t="s">
        <v>490</v>
      </c>
      <c r="B56" s="65" t="s">
        <v>553</v>
      </c>
      <c r="C56" s="12" t="s">
        <v>555</v>
      </c>
      <c r="D56" s="65" t="s">
        <v>348</v>
      </c>
      <c r="E56" s="8" t="s">
        <v>147</v>
      </c>
      <c r="F56" s="8" t="s">
        <v>558</v>
      </c>
      <c r="G56" s="19" t="s">
        <v>38</v>
      </c>
    </row>
    <row r="57" ht="24.0" customHeight="1">
      <c r="A57" s="65" t="s">
        <v>490</v>
      </c>
      <c r="B57" s="65" t="s">
        <v>553</v>
      </c>
      <c r="C57" s="12" t="s">
        <v>561</v>
      </c>
      <c r="D57" s="65" t="s">
        <v>349</v>
      </c>
      <c r="E57" s="8" t="s">
        <v>147</v>
      </c>
      <c r="F57" s="8" t="s">
        <v>558</v>
      </c>
      <c r="G57" s="19" t="s">
        <v>38</v>
      </c>
    </row>
    <row r="58" ht="24.0" customHeight="1">
      <c r="A58" s="65" t="s">
        <v>490</v>
      </c>
      <c r="B58" s="65" t="s">
        <v>553</v>
      </c>
      <c r="C58" s="12" t="s">
        <v>564</v>
      </c>
      <c r="D58" s="65" t="s">
        <v>181</v>
      </c>
      <c r="E58" s="8" t="s">
        <v>147</v>
      </c>
      <c r="F58" s="8" t="s">
        <v>558</v>
      </c>
      <c r="G58" s="37" t="s">
        <v>71</v>
      </c>
    </row>
    <row r="59" ht="24.0" customHeight="1">
      <c r="A59" s="65" t="s">
        <v>490</v>
      </c>
      <c r="B59" s="65" t="s">
        <v>553</v>
      </c>
      <c r="C59" s="12" t="s">
        <v>564</v>
      </c>
      <c r="D59" s="65" t="s">
        <v>194</v>
      </c>
      <c r="E59" s="8" t="s">
        <v>147</v>
      </c>
      <c r="F59" s="8" t="s">
        <v>558</v>
      </c>
      <c r="G59" s="37" t="s">
        <v>71</v>
      </c>
    </row>
    <row r="60" ht="24.0" customHeight="1">
      <c r="A60" s="65" t="s">
        <v>490</v>
      </c>
      <c r="B60" s="65" t="s">
        <v>553</v>
      </c>
      <c r="C60" s="12" t="s">
        <v>569</v>
      </c>
      <c r="D60" s="65" t="s">
        <v>200</v>
      </c>
      <c r="E60" s="8" t="s">
        <v>147</v>
      </c>
      <c r="F60" s="8" t="s">
        <v>558</v>
      </c>
      <c r="G60" s="37" t="s">
        <v>71</v>
      </c>
    </row>
    <row r="61" ht="24.0" customHeight="1">
      <c r="A61" s="65" t="s">
        <v>490</v>
      </c>
      <c r="B61" s="65" t="s">
        <v>553</v>
      </c>
      <c r="C61" s="12" t="s">
        <v>572</v>
      </c>
      <c r="D61" s="65" t="s">
        <v>210</v>
      </c>
      <c r="E61" s="8" t="s">
        <v>147</v>
      </c>
      <c r="F61" s="8" t="s">
        <v>558</v>
      </c>
      <c r="G61" s="37" t="s">
        <v>71</v>
      </c>
    </row>
    <row r="62" ht="24.0" customHeight="1">
      <c r="A62" s="65" t="s">
        <v>490</v>
      </c>
      <c r="B62" s="65" t="s">
        <v>553</v>
      </c>
      <c r="C62" s="12" t="s">
        <v>175</v>
      </c>
      <c r="D62" s="65" t="s">
        <v>175</v>
      </c>
      <c r="E62" s="8" t="s">
        <v>147</v>
      </c>
      <c r="F62" s="8" t="s">
        <v>558</v>
      </c>
      <c r="G62" s="37" t="s">
        <v>71</v>
      </c>
    </row>
    <row r="63" ht="24.0" customHeight="1">
      <c r="A63" s="65" t="s">
        <v>490</v>
      </c>
      <c r="B63" s="65" t="s">
        <v>553</v>
      </c>
      <c r="C63" s="12" t="s">
        <v>149</v>
      </c>
      <c r="D63" s="65" t="s">
        <v>149</v>
      </c>
      <c r="E63" s="8" t="s">
        <v>147</v>
      </c>
      <c r="F63" s="8" t="s">
        <v>558</v>
      </c>
      <c r="G63" s="37" t="s">
        <v>71</v>
      </c>
    </row>
    <row r="64" ht="24.0" customHeight="1">
      <c r="A64" s="65" t="s">
        <v>490</v>
      </c>
      <c r="B64" s="65" t="s">
        <v>553</v>
      </c>
      <c r="C64" s="12" t="s">
        <v>577</v>
      </c>
      <c r="D64" s="65" t="s">
        <v>152</v>
      </c>
      <c r="E64" s="8" t="s">
        <v>147</v>
      </c>
      <c r="F64" s="8" t="s">
        <v>558</v>
      </c>
      <c r="G64" s="37" t="s">
        <v>71</v>
      </c>
    </row>
    <row r="65" ht="24.0" customHeight="1">
      <c r="A65" s="65" t="s">
        <v>490</v>
      </c>
      <c r="B65" s="65" t="s">
        <v>553</v>
      </c>
      <c r="C65" s="12" t="s">
        <v>577</v>
      </c>
      <c r="D65" s="65" t="s">
        <v>163</v>
      </c>
      <c r="E65" s="8" t="s">
        <v>147</v>
      </c>
      <c r="F65" s="8" t="s">
        <v>558</v>
      </c>
      <c r="G65" s="37" t="s">
        <v>71</v>
      </c>
    </row>
    <row r="66" ht="24.0" customHeight="1">
      <c r="A66" s="65" t="s">
        <v>490</v>
      </c>
      <c r="B66" s="65" t="s">
        <v>553</v>
      </c>
      <c r="C66" s="12" t="s">
        <v>170</v>
      </c>
      <c r="D66" s="65" t="s">
        <v>170</v>
      </c>
      <c r="E66" s="8" t="s">
        <v>147</v>
      </c>
      <c r="F66" s="8" t="s">
        <v>558</v>
      </c>
      <c r="G66" s="37" t="s">
        <v>71</v>
      </c>
    </row>
    <row r="67" ht="24.0" customHeight="1">
      <c r="A67" s="65" t="s">
        <v>490</v>
      </c>
      <c r="B67" s="65" t="s">
        <v>553</v>
      </c>
      <c r="C67" s="12" t="s">
        <v>578</v>
      </c>
      <c r="D67" s="65" t="s">
        <v>223</v>
      </c>
      <c r="E67" s="8" t="s">
        <v>147</v>
      </c>
      <c r="F67" s="8" t="s">
        <v>558</v>
      </c>
      <c r="G67" s="37" t="s">
        <v>71</v>
      </c>
    </row>
    <row r="68" ht="24.0" customHeight="1">
      <c r="A68" s="65" t="s">
        <v>490</v>
      </c>
      <c r="B68" s="65" t="s">
        <v>579</v>
      </c>
      <c r="C68" s="12" t="s">
        <v>257</v>
      </c>
      <c r="D68" s="65" t="s">
        <v>257</v>
      </c>
      <c r="E68" s="8" t="s">
        <v>182</v>
      </c>
      <c r="F68" s="8" t="s">
        <v>558</v>
      </c>
      <c r="G68" s="37" t="s">
        <v>71</v>
      </c>
    </row>
    <row r="69" ht="24.0" customHeight="1">
      <c r="A69" s="65" t="s">
        <v>490</v>
      </c>
      <c r="B69" s="65" t="s">
        <v>579</v>
      </c>
      <c r="C69" s="12" t="s">
        <v>263</v>
      </c>
      <c r="D69" s="65" t="s">
        <v>263</v>
      </c>
      <c r="E69" s="8" t="s">
        <v>182</v>
      </c>
      <c r="F69" s="8" t="s">
        <v>558</v>
      </c>
      <c r="G69" s="37" t="s">
        <v>71</v>
      </c>
    </row>
    <row r="70" ht="24.0" customHeight="1">
      <c r="A70" s="65" t="s">
        <v>490</v>
      </c>
      <c r="B70" s="65" t="s">
        <v>579</v>
      </c>
      <c r="C70" s="12" t="s">
        <v>436</v>
      </c>
      <c r="D70" s="65" t="s">
        <v>345</v>
      </c>
      <c r="E70" s="8" t="s">
        <v>182</v>
      </c>
      <c r="F70" s="8" t="s">
        <v>558</v>
      </c>
      <c r="G70" s="19" t="s">
        <v>38</v>
      </c>
    </row>
    <row r="71" ht="24.0" customHeight="1">
      <c r="A71" s="65" t="s">
        <v>490</v>
      </c>
      <c r="B71" s="65" t="s">
        <v>579</v>
      </c>
      <c r="C71" s="12" t="s">
        <v>580</v>
      </c>
      <c r="D71" s="65" t="s">
        <v>347</v>
      </c>
      <c r="E71" s="8" t="s">
        <v>182</v>
      </c>
      <c r="F71" s="8" t="s">
        <v>558</v>
      </c>
      <c r="G71" s="19" t="s">
        <v>38</v>
      </c>
    </row>
    <row r="72" ht="24.0" customHeight="1">
      <c r="A72" s="65" t="s">
        <v>490</v>
      </c>
      <c r="B72" s="65" t="s">
        <v>579</v>
      </c>
      <c r="C72" s="12" t="s">
        <v>149</v>
      </c>
      <c r="D72" s="65" t="s">
        <v>149</v>
      </c>
      <c r="E72" s="8" t="s">
        <v>182</v>
      </c>
      <c r="F72" s="8" t="s">
        <v>558</v>
      </c>
      <c r="G72" s="37" t="s">
        <v>71</v>
      </c>
    </row>
    <row r="73" ht="24.0" customHeight="1">
      <c r="A73" s="65" t="s">
        <v>490</v>
      </c>
      <c r="B73" s="65" t="s">
        <v>579</v>
      </c>
      <c r="C73" s="12" t="s">
        <v>577</v>
      </c>
      <c r="D73" s="65" t="s">
        <v>152</v>
      </c>
      <c r="E73" s="8" t="s">
        <v>182</v>
      </c>
      <c r="F73" s="8" t="s">
        <v>558</v>
      </c>
      <c r="G73" s="37" t="s">
        <v>71</v>
      </c>
    </row>
    <row r="74" ht="24.0" customHeight="1">
      <c r="A74" s="65" t="s">
        <v>490</v>
      </c>
      <c r="B74" s="65" t="s">
        <v>579</v>
      </c>
      <c r="C74" s="12" t="s">
        <v>577</v>
      </c>
      <c r="D74" s="65" t="s">
        <v>163</v>
      </c>
      <c r="E74" s="8" t="s">
        <v>182</v>
      </c>
      <c r="F74" s="8" t="s">
        <v>558</v>
      </c>
      <c r="G74" s="37" t="s">
        <v>71</v>
      </c>
    </row>
    <row r="75" ht="24.0" customHeight="1">
      <c r="A75" s="65" t="s">
        <v>490</v>
      </c>
      <c r="B75" s="65" t="s">
        <v>579</v>
      </c>
      <c r="C75" s="12" t="s">
        <v>170</v>
      </c>
      <c r="D75" s="65" t="s">
        <v>170</v>
      </c>
      <c r="E75" s="8" t="s">
        <v>182</v>
      </c>
      <c r="F75" s="8" t="s">
        <v>558</v>
      </c>
      <c r="G75" s="37" t="s">
        <v>71</v>
      </c>
    </row>
    <row r="76" ht="24.0" customHeight="1">
      <c r="A76" s="65" t="s">
        <v>490</v>
      </c>
      <c r="B76" s="65" t="s">
        <v>579</v>
      </c>
      <c r="C76" s="12" t="s">
        <v>253</v>
      </c>
      <c r="D76" s="65" t="s">
        <v>253</v>
      </c>
      <c r="E76" s="8" t="s">
        <v>182</v>
      </c>
      <c r="F76" s="8" t="s">
        <v>558</v>
      </c>
      <c r="G76" s="37" t="s">
        <v>71</v>
      </c>
    </row>
    <row r="77" ht="24.0" customHeight="1">
      <c r="A77" s="65" t="s">
        <v>581</v>
      </c>
      <c r="B77" s="65" t="s">
        <v>582</v>
      </c>
      <c r="C77" s="12" t="s">
        <v>583</v>
      </c>
      <c r="D77" s="65" t="s">
        <v>398</v>
      </c>
      <c r="E77" s="8" t="s">
        <v>205</v>
      </c>
      <c r="F77" s="8" t="s">
        <v>584</v>
      </c>
      <c r="G77" s="19" t="s">
        <v>38</v>
      </c>
    </row>
    <row r="78" ht="24.0" customHeight="1">
      <c r="A78" s="65" t="s">
        <v>581</v>
      </c>
      <c r="B78" s="65" t="s">
        <v>582</v>
      </c>
      <c r="C78" s="12" t="s">
        <v>585</v>
      </c>
      <c r="D78" s="65" t="s">
        <v>399</v>
      </c>
      <c r="E78" s="8" t="s">
        <v>205</v>
      </c>
      <c r="F78" s="8" t="s">
        <v>584</v>
      </c>
      <c r="G78" s="19" t="s">
        <v>38</v>
      </c>
    </row>
    <row r="79" ht="24.0" customHeight="1">
      <c r="A79" s="65" t="s">
        <v>581</v>
      </c>
      <c r="B79" s="65" t="s">
        <v>582</v>
      </c>
      <c r="C79" s="12" t="s">
        <v>400</v>
      </c>
      <c r="D79" s="65" t="s">
        <v>400</v>
      </c>
      <c r="E79" s="8" t="s">
        <v>205</v>
      </c>
      <c r="F79" s="8" t="s">
        <v>584</v>
      </c>
      <c r="G79" s="19" t="s">
        <v>38</v>
      </c>
    </row>
    <row r="80" ht="24.0" customHeight="1">
      <c r="A80" s="65" t="s">
        <v>581</v>
      </c>
      <c r="B80" s="65" t="s">
        <v>582</v>
      </c>
      <c r="C80" s="12" t="s">
        <v>586</v>
      </c>
      <c r="D80" s="65" t="s">
        <v>401</v>
      </c>
      <c r="E80" s="8" t="s">
        <v>205</v>
      </c>
      <c r="F80" s="8" t="s">
        <v>584</v>
      </c>
      <c r="G80" s="19" t="s">
        <v>38</v>
      </c>
    </row>
    <row r="81" ht="24.0" customHeight="1">
      <c r="A81" s="65" t="s">
        <v>581</v>
      </c>
      <c r="B81" s="65" t="s">
        <v>582</v>
      </c>
      <c r="C81" s="12" t="s">
        <v>587</v>
      </c>
      <c r="D81" s="65" t="s">
        <v>402</v>
      </c>
      <c r="E81" s="8" t="s">
        <v>205</v>
      </c>
      <c r="F81" s="8" t="s">
        <v>584</v>
      </c>
      <c r="G81" s="19" t="s">
        <v>38</v>
      </c>
    </row>
    <row r="82" ht="24.0" customHeight="1">
      <c r="A82" s="65" t="s">
        <v>581</v>
      </c>
      <c r="B82" s="65" t="s">
        <v>582</v>
      </c>
      <c r="C82" s="12" t="s">
        <v>588</v>
      </c>
      <c r="D82" s="65" t="s">
        <v>403</v>
      </c>
      <c r="E82" s="8" t="s">
        <v>205</v>
      </c>
      <c r="F82" s="8" t="s">
        <v>584</v>
      </c>
      <c r="G82" s="19" t="s">
        <v>38</v>
      </c>
    </row>
    <row r="83" ht="24.0" customHeight="1">
      <c r="A83" s="65" t="s">
        <v>581</v>
      </c>
      <c r="B83" s="65" t="s">
        <v>582</v>
      </c>
      <c r="C83" s="12" t="s">
        <v>170</v>
      </c>
      <c r="D83" s="65" t="s">
        <v>170</v>
      </c>
      <c r="E83" s="8" t="s">
        <v>205</v>
      </c>
      <c r="F83" s="8" t="s">
        <v>584</v>
      </c>
      <c r="G83" s="19" t="s">
        <v>38</v>
      </c>
    </row>
    <row r="84" ht="24.0" customHeight="1">
      <c r="A84" s="65" t="s">
        <v>581</v>
      </c>
      <c r="B84" s="65" t="s">
        <v>582</v>
      </c>
      <c r="C84" s="12" t="s">
        <v>404</v>
      </c>
      <c r="D84" s="65" t="s">
        <v>404</v>
      </c>
      <c r="E84" s="8" t="s">
        <v>205</v>
      </c>
      <c r="F84" s="8" t="s">
        <v>584</v>
      </c>
      <c r="G84" s="19" t="s">
        <v>38</v>
      </c>
    </row>
    <row r="85" ht="24.0" customHeight="1">
      <c r="A85" s="65" t="s">
        <v>581</v>
      </c>
      <c r="B85" s="65" t="s">
        <v>582</v>
      </c>
      <c r="C85" s="12" t="s">
        <v>405</v>
      </c>
      <c r="D85" s="65" t="s">
        <v>405</v>
      </c>
      <c r="E85" s="8" t="s">
        <v>205</v>
      </c>
      <c r="F85" s="8" t="s">
        <v>584</v>
      </c>
      <c r="G85" s="19" t="s">
        <v>38</v>
      </c>
    </row>
    <row r="86" ht="24.0" customHeight="1">
      <c r="A86" s="65" t="s">
        <v>581</v>
      </c>
      <c r="B86" s="65" t="s">
        <v>582</v>
      </c>
      <c r="C86" s="12" t="s">
        <v>406</v>
      </c>
      <c r="D86" s="65" t="s">
        <v>406</v>
      </c>
      <c r="E86" s="8" t="s">
        <v>205</v>
      </c>
      <c r="F86" s="8" t="s">
        <v>584</v>
      </c>
      <c r="G86" s="19" t="s">
        <v>38</v>
      </c>
    </row>
    <row r="87" ht="24.0" customHeight="1">
      <c r="A87" s="65" t="s">
        <v>581</v>
      </c>
      <c r="B87" s="65" t="s">
        <v>582</v>
      </c>
      <c r="C87" s="12" t="s">
        <v>141</v>
      </c>
      <c r="D87" s="65" t="s">
        <v>141</v>
      </c>
      <c r="E87" s="8" t="s">
        <v>205</v>
      </c>
      <c r="F87" s="8" t="s">
        <v>584</v>
      </c>
      <c r="G87" s="19" t="s">
        <v>38</v>
      </c>
    </row>
    <row r="88" ht="24.0" customHeight="1">
      <c r="A88" s="65" t="s">
        <v>581</v>
      </c>
      <c r="B88" s="65" t="s">
        <v>582</v>
      </c>
      <c r="C88" s="12" t="s">
        <v>589</v>
      </c>
      <c r="D88" s="65" t="s">
        <v>407</v>
      </c>
      <c r="E88" s="8" t="s">
        <v>205</v>
      </c>
      <c r="F88" s="8" t="s">
        <v>584</v>
      </c>
      <c r="G88" s="19" t="s">
        <v>38</v>
      </c>
    </row>
    <row r="89" ht="24.0" customHeight="1">
      <c r="A89" s="65" t="s">
        <v>581</v>
      </c>
      <c r="B89" s="65" t="s">
        <v>582</v>
      </c>
      <c r="C89" s="12" t="s">
        <v>590</v>
      </c>
      <c r="D89" s="65" t="s">
        <v>294</v>
      </c>
      <c r="E89" s="8" t="s">
        <v>205</v>
      </c>
      <c r="F89" s="8" t="s">
        <v>584</v>
      </c>
      <c r="G89" s="37" t="s">
        <v>71</v>
      </c>
    </row>
    <row r="90" ht="24.0" customHeight="1">
      <c r="A90" s="65" t="s">
        <v>490</v>
      </c>
      <c r="B90" s="65" t="s">
        <v>591</v>
      </c>
      <c r="C90" s="12" t="s">
        <v>592</v>
      </c>
      <c r="D90" s="65" t="s">
        <v>434</v>
      </c>
      <c r="E90" s="8" t="s">
        <v>224</v>
      </c>
      <c r="F90" s="8" t="s">
        <v>593</v>
      </c>
      <c r="G90" s="68" t="s">
        <v>94</v>
      </c>
    </row>
    <row r="91" ht="24.0" customHeight="1">
      <c r="A91" s="65" t="s">
        <v>490</v>
      </c>
      <c r="B91" s="65" t="s">
        <v>591</v>
      </c>
      <c r="C91" s="12" t="s">
        <v>594</v>
      </c>
      <c r="D91" s="65" t="s">
        <v>435</v>
      </c>
      <c r="E91" s="8" t="s">
        <v>224</v>
      </c>
      <c r="F91" s="8" t="s">
        <v>593</v>
      </c>
      <c r="G91" s="68" t="s">
        <v>94</v>
      </c>
    </row>
    <row r="92" ht="24.0" customHeight="1">
      <c r="A92" s="65" t="s">
        <v>490</v>
      </c>
      <c r="B92" s="65" t="s">
        <v>591</v>
      </c>
      <c r="C92" s="12" t="s">
        <v>436</v>
      </c>
      <c r="D92" s="65" t="s">
        <v>436</v>
      </c>
      <c r="E92" s="8" t="s">
        <v>224</v>
      </c>
      <c r="F92" s="8" t="s">
        <v>593</v>
      </c>
      <c r="G92" s="68" t="s">
        <v>94</v>
      </c>
    </row>
    <row r="93" ht="24.0" customHeight="1">
      <c r="A93" s="65" t="s">
        <v>490</v>
      </c>
      <c r="B93" s="65" t="s">
        <v>591</v>
      </c>
      <c r="C93" s="12" t="s">
        <v>170</v>
      </c>
      <c r="D93" s="65" t="s">
        <v>170</v>
      </c>
      <c r="E93" s="8" t="s">
        <v>224</v>
      </c>
      <c r="F93" s="8" t="s">
        <v>593</v>
      </c>
      <c r="G93" s="68" t="s">
        <v>94</v>
      </c>
    </row>
    <row r="94" ht="24.0" customHeight="1">
      <c r="A94" s="65" t="s">
        <v>490</v>
      </c>
      <c r="B94" s="65" t="s">
        <v>595</v>
      </c>
      <c r="C94" s="12" t="s">
        <v>596</v>
      </c>
      <c r="D94" s="65" t="s">
        <v>305</v>
      </c>
      <c r="E94" s="8" t="s">
        <v>235</v>
      </c>
      <c r="F94" s="8" t="s">
        <v>468</v>
      </c>
      <c r="G94" s="37" t="s">
        <v>71</v>
      </c>
    </row>
    <row r="95" ht="24.0" customHeight="1">
      <c r="A95" s="65" t="s">
        <v>490</v>
      </c>
      <c r="B95" s="65" t="s">
        <v>595</v>
      </c>
      <c r="C95" s="12" t="s">
        <v>456</v>
      </c>
      <c r="D95" s="65" t="s">
        <v>456</v>
      </c>
      <c r="E95" s="8" t="s">
        <v>235</v>
      </c>
      <c r="F95" s="8" t="s">
        <v>468</v>
      </c>
      <c r="G95" s="19" t="s">
        <v>38</v>
      </c>
    </row>
    <row r="96" ht="24.0" customHeight="1">
      <c r="A96" s="65" t="s">
        <v>490</v>
      </c>
      <c r="B96" s="65" t="s">
        <v>595</v>
      </c>
      <c r="C96" s="12" t="s">
        <v>597</v>
      </c>
      <c r="D96" s="65" t="s">
        <v>457</v>
      </c>
      <c r="E96" s="8" t="s">
        <v>235</v>
      </c>
      <c r="F96" s="8" t="s">
        <v>468</v>
      </c>
      <c r="G96" s="19" t="s">
        <v>38</v>
      </c>
    </row>
    <row r="97" ht="24.0" customHeight="1">
      <c r="A97" s="65" t="s">
        <v>490</v>
      </c>
      <c r="B97" s="65" t="s">
        <v>595</v>
      </c>
      <c r="C97" s="12" t="s">
        <v>598</v>
      </c>
      <c r="D97" s="65" t="s">
        <v>458</v>
      </c>
      <c r="E97" s="8" t="s">
        <v>235</v>
      </c>
      <c r="F97" s="8" t="s">
        <v>468</v>
      </c>
      <c r="G97" s="19" t="s">
        <v>38</v>
      </c>
    </row>
    <row r="98" ht="24.0" customHeight="1">
      <c r="A98" s="65" t="s">
        <v>490</v>
      </c>
      <c r="B98" s="65" t="s">
        <v>595</v>
      </c>
      <c r="C98" s="12" t="s">
        <v>599</v>
      </c>
      <c r="D98" s="65" t="s">
        <v>459</v>
      </c>
      <c r="E98" s="8" t="s">
        <v>235</v>
      </c>
      <c r="F98" s="8" t="s">
        <v>468</v>
      </c>
      <c r="G98" s="19" t="s">
        <v>38</v>
      </c>
    </row>
    <row r="99" ht="24.0" customHeight="1">
      <c r="A99" s="65" t="s">
        <v>490</v>
      </c>
      <c r="B99" s="65" t="s">
        <v>595</v>
      </c>
      <c r="C99" s="12" t="s">
        <v>600</v>
      </c>
      <c r="D99" s="65" t="s">
        <v>460</v>
      </c>
      <c r="E99" s="8" t="s">
        <v>235</v>
      </c>
      <c r="F99" s="8" t="s">
        <v>468</v>
      </c>
      <c r="G99" s="19" t="s">
        <v>38</v>
      </c>
    </row>
    <row r="100" ht="24.0" customHeight="1">
      <c r="A100" s="65" t="s">
        <v>490</v>
      </c>
      <c r="B100" s="65" t="s">
        <v>595</v>
      </c>
      <c r="C100" s="12" t="s">
        <v>461</v>
      </c>
      <c r="D100" s="65" t="s">
        <v>461</v>
      </c>
      <c r="E100" s="8" t="s">
        <v>235</v>
      </c>
      <c r="F100" s="8" t="s">
        <v>468</v>
      </c>
      <c r="G100" s="19" t="s">
        <v>38</v>
      </c>
    </row>
    <row r="101" ht="24.0" customHeight="1">
      <c r="A101" s="65" t="s">
        <v>490</v>
      </c>
      <c r="B101" s="65" t="s">
        <v>595</v>
      </c>
      <c r="C101" s="12" t="s">
        <v>601</v>
      </c>
      <c r="D101" s="65" t="s">
        <v>462</v>
      </c>
      <c r="E101" s="8" t="s">
        <v>235</v>
      </c>
      <c r="F101" s="8" t="s">
        <v>468</v>
      </c>
      <c r="G101" s="19" t="s">
        <v>38</v>
      </c>
    </row>
    <row r="102" ht="24.0" customHeight="1">
      <c r="A102" s="65" t="s">
        <v>490</v>
      </c>
      <c r="B102" s="65" t="s">
        <v>595</v>
      </c>
      <c r="C102" s="12" t="s">
        <v>463</v>
      </c>
      <c r="D102" s="65" t="s">
        <v>463</v>
      </c>
      <c r="E102" s="8" t="s">
        <v>235</v>
      </c>
      <c r="F102" s="8" t="s">
        <v>468</v>
      </c>
      <c r="G102" s="19" t="s">
        <v>38</v>
      </c>
    </row>
    <row r="103" ht="24.0" customHeight="1">
      <c r="A103" s="65" t="s">
        <v>490</v>
      </c>
      <c r="B103" s="65" t="s">
        <v>595</v>
      </c>
      <c r="C103" s="12" t="s">
        <v>602</v>
      </c>
      <c r="D103" s="65" t="s">
        <v>299</v>
      </c>
      <c r="E103" s="8" t="s">
        <v>235</v>
      </c>
      <c r="F103" s="8" t="s">
        <v>468</v>
      </c>
      <c r="G103" s="37" t="s">
        <v>71</v>
      </c>
    </row>
    <row r="104" ht="24.0" customHeight="1">
      <c r="A104" s="65" t="s">
        <v>490</v>
      </c>
      <c r="B104" s="65" t="s">
        <v>595</v>
      </c>
      <c r="C104" s="12" t="s">
        <v>302</v>
      </c>
      <c r="D104" s="65" t="s">
        <v>302</v>
      </c>
      <c r="E104" s="8" t="s">
        <v>235</v>
      </c>
      <c r="F104" s="8" t="s">
        <v>468</v>
      </c>
      <c r="G104" s="37" t="s">
        <v>71</v>
      </c>
    </row>
    <row r="105" ht="24.0" customHeight="1">
      <c r="A105" s="65" t="s">
        <v>581</v>
      </c>
      <c r="B105" s="65" t="s">
        <v>603</v>
      </c>
      <c r="C105" s="12" t="s">
        <v>370</v>
      </c>
      <c r="D105" s="65" t="s">
        <v>604</v>
      </c>
      <c r="E105" s="8" t="s">
        <v>192</v>
      </c>
      <c r="F105" s="8" t="s">
        <v>605</v>
      </c>
      <c r="G105" s="19" t="s">
        <v>38</v>
      </c>
    </row>
    <row r="106" ht="24.0" customHeight="1">
      <c r="A106" s="65" t="s">
        <v>581</v>
      </c>
      <c r="B106" s="65" t="s">
        <v>603</v>
      </c>
      <c r="C106" s="12" t="s">
        <v>374</v>
      </c>
      <c r="D106" s="65" t="s">
        <v>606</v>
      </c>
      <c r="E106" s="8" t="s">
        <v>192</v>
      </c>
      <c r="F106" s="8" t="s">
        <v>605</v>
      </c>
      <c r="G106" s="19" t="s">
        <v>38</v>
      </c>
    </row>
    <row r="107" ht="24.0" customHeight="1">
      <c r="A107" s="65" t="s">
        <v>581</v>
      </c>
      <c r="B107" s="65" t="s">
        <v>603</v>
      </c>
      <c r="C107" s="12" t="s">
        <v>376</v>
      </c>
      <c r="D107" s="65" t="s">
        <v>607</v>
      </c>
      <c r="E107" s="8" t="s">
        <v>192</v>
      </c>
      <c r="F107" s="8" t="s">
        <v>605</v>
      </c>
      <c r="G107" s="19" t="s">
        <v>38</v>
      </c>
    </row>
    <row r="108" ht="24.0" customHeight="1">
      <c r="A108" s="65" t="s">
        <v>581</v>
      </c>
      <c r="B108" s="65" t="s">
        <v>603</v>
      </c>
      <c r="C108" s="12" t="s">
        <v>378</v>
      </c>
      <c r="D108" s="65" t="s">
        <v>608</v>
      </c>
      <c r="E108" s="8" t="s">
        <v>192</v>
      </c>
      <c r="F108" s="8" t="s">
        <v>605</v>
      </c>
      <c r="G108" s="19" t="s">
        <v>38</v>
      </c>
    </row>
    <row r="109" ht="24.0" customHeight="1">
      <c r="A109" s="65" t="s">
        <v>581</v>
      </c>
      <c r="B109" s="65" t="s">
        <v>609</v>
      </c>
      <c r="C109" s="12" t="s">
        <v>610</v>
      </c>
      <c r="D109" s="65" t="s">
        <v>272</v>
      </c>
      <c r="E109" s="8" t="s">
        <v>192</v>
      </c>
      <c r="F109" s="8" t="s">
        <v>174</v>
      </c>
      <c r="G109" s="37" t="s">
        <v>71</v>
      </c>
    </row>
    <row r="110" ht="24.0" customHeight="1">
      <c r="A110" s="65" t="s">
        <v>581</v>
      </c>
      <c r="B110" s="65" t="s">
        <v>609</v>
      </c>
      <c r="C110" s="12" t="s">
        <v>611</v>
      </c>
      <c r="D110" s="65" t="s">
        <v>287</v>
      </c>
      <c r="E110" s="8" t="s">
        <v>192</v>
      </c>
      <c r="F110" s="8" t="s">
        <v>174</v>
      </c>
      <c r="G110" s="37" t="s">
        <v>71</v>
      </c>
    </row>
    <row r="111" ht="24.0" customHeight="1">
      <c r="A111" s="65" t="s">
        <v>581</v>
      </c>
      <c r="B111" s="65" t="s">
        <v>612</v>
      </c>
      <c r="C111" s="12" t="s">
        <v>613</v>
      </c>
      <c r="D111" s="65" t="s">
        <v>613</v>
      </c>
      <c r="E111" s="8" t="s">
        <v>192</v>
      </c>
      <c r="F111" s="8" t="s">
        <v>605</v>
      </c>
      <c r="G111" s="19" t="s">
        <v>38</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111"/>
  <mergeCells count="2">
    <mergeCell ref="A1:G1"/>
    <mergeCell ref="A2:G2"/>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2" width="32.0"/>
    <col customWidth="1" min="3" max="3" width="40.0"/>
    <col customWidth="1" min="4" max="4" width="50.0"/>
    <col customWidth="1" min="5" max="26" width="8.71"/>
  </cols>
  <sheetData>
    <row r="1" ht="27.75" customHeight="1">
      <c r="A1" s="1" t="s">
        <v>517</v>
      </c>
      <c r="B1" s="2"/>
      <c r="C1" s="2"/>
      <c r="D1" s="3"/>
    </row>
    <row r="2" ht="19.5" customHeight="1">
      <c r="A2" s="4" t="s">
        <v>520</v>
      </c>
    </row>
    <row r="4" ht="30.0" customHeight="1">
      <c r="A4" s="5" t="s">
        <v>13</v>
      </c>
      <c r="B4" s="5" t="s">
        <v>522</v>
      </c>
      <c r="C4" s="5" t="s">
        <v>523</v>
      </c>
      <c r="D4" s="5" t="s">
        <v>524</v>
      </c>
    </row>
    <row r="5">
      <c r="A5" s="66" t="s">
        <v>525</v>
      </c>
      <c r="B5" s="8" t="s">
        <v>526</v>
      </c>
      <c r="C5" s="67" t="s">
        <v>527</v>
      </c>
      <c r="D5" s="8" t="s">
        <v>528</v>
      </c>
    </row>
    <row r="6">
      <c r="A6" s="66" t="s">
        <v>525</v>
      </c>
      <c r="B6" s="8" t="s">
        <v>526</v>
      </c>
      <c r="C6" s="67" t="s">
        <v>141</v>
      </c>
      <c r="D6" s="8" t="s">
        <v>528</v>
      </c>
    </row>
    <row r="7">
      <c r="A7" s="66" t="s">
        <v>525</v>
      </c>
      <c r="B7" s="8" t="s">
        <v>526</v>
      </c>
      <c r="C7" s="67" t="s">
        <v>529</v>
      </c>
      <c r="D7" s="8" t="s">
        <v>528</v>
      </c>
    </row>
    <row r="8">
      <c r="A8" s="66" t="s">
        <v>525</v>
      </c>
      <c r="B8" s="8" t="s">
        <v>526</v>
      </c>
      <c r="C8" s="67" t="s">
        <v>104</v>
      </c>
      <c r="D8" s="8" t="s">
        <v>528</v>
      </c>
    </row>
    <row r="9">
      <c r="A9" s="66" t="s">
        <v>525</v>
      </c>
      <c r="B9" s="8" t="s">
        <v>533</v>
      </c>
      <c r="C9" s="67" t="s">
        <v>534</v>
      </c>
      <c r="D9" s="8" t="s">
        <v>528</v>
      </c>
    </row>
    <row r="10">
      <c r="A10" s="66" t="s">
        <v>525</v>
      </c>
      <c r="B10" s="8" t="s">
        <v>537</v>
      </c>
      <c r="C10" s="67" t="s">
        <v>538</v>
      </c>
      <c r="D10" s="8" t="s">
        <v>528</v>
      </c>
    </row>
    <row r="11">
      <c r="A11" s="66" t="s">
        <v>525</v>
      </c>
      <c r="B11" s="8" t="s">
        <v>537</v>
      </c>
      <c r="C11" s="67" t="s">
        <v>542</v>
      </c>
      <c r="D11" s="8" t="s">
        <v>528</v>
      </c>
    </row>
    <row r="12">
      <c r="A12" s="66" t="s">
        <v>544</v>
      </c>
      <c r="B12" s="8" t="s">
        <v>546</v>
      </c>
      <c r="C12" s="67" t="s">
        <v>547</v>
      </c>
      <c r="D12" s="8" t="s">
        <v>528</v>
      </c>
    </row>
    <row r="13">
      <c r="A13" s="66" t="s">
        <v>544</v>
      </c>
      <c r="B13" s="8" t="s">
        <v>549</v>
      </c>
      <c r="C13" s="67" t="s">
        <v>551</v>
      </c>
      <c r="D13" s="8" t="s">
        <v>528</v>
      </c>
    </row>
    <row r="14">
      <c r="A14" s="66" t="s">
        <v>544</v>
      </c>
      <c r="B14" s="8" t="s">
        <v>554</v>
      </c>
      <c r="C14" s="67" t="s">
        <v>556</v>
      </c>
      <c r="D14" s="8" t="s">
        <v>528</v>
      </c>
    </row>
    <row r="15">
      <c r="A15" s="66" t="s">
        <v>544</v>
      </c>
      <c r="B15" s="8" t="s">
        <v>549</v>
      </c>
      <c r="C15" s="67" t="s">
        <v>436</v>
      </c>
      <c r="D15" s="8" t="s">
        <v>528</v>
      </c>
    </row>
    <row r="16">
      <c r="A16" s="66" t="s">
        <v>544</v>
      </c>
      <c r="B16" s="8" t="s">
        <v>562</v>
      </c>
      <c r="C16" s="67" t="s">
        <v>563</v>
      </c>
      <c r="D16" s="8" t="s">
        <v>528</v>
      </c>
    </row>
    <row r="17">
      <c r="A17" s="66" t="s">
        <v>544</v>
      </c>
      <c r="B17" s="8" t="s">
        <v>549</v>
      </c>
      <c r="C17" s="67" t="s">
        <v>565</v>
      </c>
      <c r="D17" s="8" t="s">
        <v>528</v>
      </c>
    </row>
    <row r="18">
      <c r="A18" s="66" t="s">
        <v>544</v>
      </c>
      <c r="B18" s="8" t="s">
        <v>566</v>
      </c>
      <c r="C18" s="67" t="s">
        <v>567</v>
      </c>
      <c r="D18" s="8" t="s">
        <v>528</v>
      </c>
    </row>
    <row r="19">
      <c r="A19" s="66" t="s">
        <v>544</v>
      </c>
      <c r="B19" s="8" t="s">
        <v>566</v>
      </c>
      <c r="C19" s="67" t="s">
        <v>568</v>
      </c>
      <c r="D19" s="8" t="s">
        <v>528</v>
      </c>
    </row>
    <row r="20">
      <c r="A20" s="66" t="s">
        <v>544</v>
      </c>
      <c r="B20" s="8" t="s">
        <v>570</v>
      </c>
      <c r="C20" s="67" t="s">
        <v>571</v>
      </c>
      <c r="D20" s="8" t="s">
        <v>528</v>
      </c>
    </row>
    <row r="21" ht="15.75" customHeight="1">
      <c r="A21" s="66" t="s">
        <v>544</v>
      </c>
      <c r="B21" s="8" t="s">
        <v>573</v>
      </c>
      <c r="C21" s="67" t="s">
        <v>574</v>
      </c>
      <c r="D21" s="8" t="s">
        <v>528</v>
      </c>
    </row>
    <row r="22" ht="15.75" customHeight="1">
      <c r="A22" s="66" t="s">
        <v>29</v>
      </c>
      <c r="B22" s="8" t="s">
        <v>158</v>
      </c>
      <c r="C22" s="67" t="s">
        <v>575</v>
      </c>
      <c r="D22" s="8" t="s">
        <v>576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